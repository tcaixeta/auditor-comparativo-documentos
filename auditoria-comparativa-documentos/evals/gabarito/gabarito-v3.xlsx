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Gabarito" sheetId="3" state="visible" r:id="rId3"/>
    <sheet xmlns:r="http://schemas.openxmlformats.org/officeDocument/2006/relationships" name="Convergentes" sheetId="4" state="visible" r:id="rId4"/>
    <sheet xmlns:r="http://schemas.openxmlformats.org/officeDocument/2006/relationships" name="Execução 1" sheetId="5" state="visible" r:id="rId5"/>
    <sheet xmlns:r="http://schemas.openxmlformats.org/officeDocument/2006/relationships" name="Execução 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C00000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1F3864"/>
      <sz val="10"/>
    </font>
    <font>
      <name val="Arial"/>
      <b val="1"/>
      <color rgb="00C00000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1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9" fillId="0" borderId="0" pivotButton="0" quotePrefix="0" xfId="0"/>
    <xf numFmtId="0" fontId="7" fillId="0" borderId="0" pivotButton="0" quotePrefix="0" xfId="0"/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4" borderId="1" pivotButton="0" quotePrefix="0" xfId="0"/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40" customWidth="1" min="12" max="12"/>
  </cols>
  <sheetData>
    <row r="1">
      <c r="A1" s="1" t="inlineStr">
        <is>
          <t>Kit de teste — Persona de Auditoria Comparativa de Documentos</t>
        </is>
      </c>
    </row>
    <row r="2">
      <c r="A2" s="2" t="inlineStr">
        <is>
          <t>NÃO envie esta planilha para a IA. Ela contém as respostas esperadas.</t>
        </is>
      </c>
    </row>
    <row r="3">
      <c r="A3" s="3" t="n"/>
    </row>
    <row r="4">
      <c r="A4" s="4" t="inlineStr">
        <is>
          <t>Como usar</t>
        </is>
      </c>
    </row>
    <row r="5" ht="28" customHeight="1">
      <c r="A5" s="5" t="inlineStr">
        <is>
          <t>1. Rode a persona com DOC-A (PDF) e DOC-B (DOCX), usando o prompt do arquivo LEIA-ME.md. Faça 2 execuções em conversas novas.</t>
        </is>
      </c>
    </row>
    <row r="6" ht="28" customHeight="1">
      <c r="A6" s="5" t="inlineStr">
        <is>
          <t>2. Para cada execução, preencha a aba correspondente (Execução 1, Execução 2), comparando a saída da IA com a aba Gabarito.</t>
        </is>
      </c>
    </row>
    <row r="7">
      <c r="A7" s="5" t="inlineStr">
        <is>
          <t>3. Confira cada citação da IA no documento original (Ctrl+F no PDF/DOCX). Uma citação alterada ou inventada = N.</t>
        </is>
      </c>
    </row>
    <row r="8">
      <c r="A8" s="5" t="inlineStr">
        <is>
          <t>4. Liste na seção "Achados extras" tudo o que a IA apontou e não está no gabarito, e diga se é uma diferença real.</t>
        </is>
      </c>
    </row>
    <row r="9">
      <c r="A9" s="5" t="inlineStr">
        <is>
          <t>5. Marque na aba Convergentes os itens iguais que a IA listou.</t>
        </is>
      </c>
    </row>
    <row r="10">
      <c r="A10" s="5" t="inlineStr">
        <is>
          <t>6. Veja o resultado na aba Scorecard. Cada critério não atendido indica a seção da persona a ajustar.</t>
        </is>
      </c>
    </row>
    <row r="11">
      <c r="A11" s="3" t="n"/>
    </row>
    <row r="12">
      <c r="A12" s="4" t="inlineStr">
        <is>
          <t>Legenda</t>
        </is>
      </c>
    </row>
    <row r="13">
      <c r="A13" s="5" t="inlineStr">
        <is>
          <t>Células amarelas = preencher. Todas as demais são calculadas ou fixas.</t>
        </is>
      </c>
    </row>
    <row r="14">
      <c r="A14" s="5" t="inlineStr">
        <is>
          <t>S = sim · N = não · NA = não se aplica (ex.: citação de DOC-B em item que só existe em DOC-A).</t>
        </is>
      </c>
    </row>
    <row r="15" ht="28" customHeight="1">
      <c r="A15" s="5" t="inlineStr">
        <is>
          <t>"Tratado corretamente?": para diferenças plantadas, S = a IA apontou a diferença. Para armadilhas, S = a IA NÃO a apontou como diferença (tratou como equivalente).</t>
        </is>
      </c>
    </row>
    <row r="16" ht="28" customHeight="1">
      <c r="A16" s="5" t="inlineStr">
        <is>
          <t>Achados extras: um achado que DUPLICA outro já mapeado ao gabarito (mesmo item, mesmo problema, outro tipo) = N em "É diferença real?". Ele conta como falso positivo no Scorecard.</t>
        </is>
      </c>
    </row>
    <row r="17" ht="28" customHeight="1">
      <c r="A17" s="5" t="inlineStr">
        <is>
          <t>"Marcada como verificada?": S quando a IA escreveu "Citação verificada: Sim" no achado. Se a citação estiver errada, a coluna Alerta mostra FALHA (verificação só de fachada).</t>
        </is>
      </c>
    </row>
    <row r="18">
      <c r="A18" s="3" t="n"/>
    </row>
    <row r="19">
      <c r="A19" s="4" t="inlineStr">
        <is>
          <t>Exemplo de preenchimento (uma linha da aba Execução)</t>
        </is>
      </c>
    </row>
    <row r="20">
      <c r="A20" s="6" t="inlineStr">
        <is>
          <t>ID</t>
        </is>
      </c>
      <c r="B20" s="6" t="inlineStr">
        <is>
          <t>ID do achado da IA</t>
        </is>
      </c>
      <c r="C20" s="6" t="inlineStr">
        <is>
          <t>Tratado corretamente?</t>
        </is>
      </c>
      <c r="D20" s="6" t="inlineStr">
        <is>
          <t>Tipo correto?</t>
        </is>
      </c>
      <c r="E20" s="6" t="inlineStr">
        <is>
          <t>Estado correto?</t>
        </is>
      </c>
      <c r="F20" s="6" t="inlineStr">
        <is>
          <t>Citação DOC-A fiel?</t>
        </is>
      </c>
      <c r="G20" s="6" t="inlineStr">
        <is>
          <t>Citação DOC-B fiel?</t>
        </is>
      </c>
      <c r="H20" s="6" t="inlineStr">
        <is>
          <t>Localizador correto?</t>
        </is>
      </c>
      <c r="I20" s="6" t="inlineStr">
        <is>
          <t>Ponto exato correto?</t>
        </is>
      </c>
      <c r="J20" s="6" t="inlineStr">
        <is>
          <t>Severidade adequada?</t>
        </is>
      </c>
      <c r="K20" s="6" t="inlineStr">
        <is>
          <t>Marcada como verificada?</t>
        </is>
      </c>
      <c r="L20" s="6" t="inlineStr">
        <is>
          <t>Observações</t>
        </is>
      </c>
    </row>
    <row r="21">
      <c r="A21" s="7" t="inlineStr">
        <is>
          <t>G01</t>
        </is>
      </c>
      <c r="B21" s="7" t="inlineStr">
        <is>
          <t>ACH-002</t>
        </is>
      </c>
      <c r="C21" s="7" t="inlineStr">
        <is>
          <t>S</t>
        </is>
      </c>
      <c r="D21" s="7" t="inlineStr">
        <is>
          <t>S</t>
        </is>
      </c>
      <c r="E21" s="7" t="inlineStr">
        <is>
          <t>S</t>
        </is>
      </c>
      <c r="F21" s="7" t="inlineStr">
        <is>
          <t>S</t>
        </is>
      </c>
      <c r="G21" s="7" t="inlineStr">
        <is>
          <t>N</t>
        </is>
      </c>
      <c r="H21" s="7" t="inlineStr">
        <is>
          <t>S</t>
        </is>
      </c>
      <c r="I21" s="7" t="inlineStr">
        <is>
          <t>S</t>
        </is>
      </c>
      <c r="J21" s="7" t="inlineStr">
        <is>
          <t>S</t>
        </is>
      </c>
      <c r="K21" s="7" t="inlineStr">
        <is>
          <t>S</t>
        </is>
      </c>
      <c r="L21" s="7" t="inlineStr">
        <is>
          <t>Citação de DOC-B trocou "45" por "60" → Alerta mostra FALHA</t>
        </is>
      </c>
    </row>
  </sheetData>
  <mergeCells count="19">
    <mergeCell ref="A16:L16"/>
    <mergeCell ref="A7:L7"/>
    <mergeCell ref="A18:L18"/>
    <mergeCell ref="A3:L3"/>
    <mergeCell ref="A12:L12"/>
    <mergeCell ref="A2:L2"/>
    <mergeCell ref="A5:L5"/>
    <mergeCell ref="A8:L8"/>
    <mergeCell ref="A14:L14"/>
    <mergeCell ref="A17:L17"/>
    <mergeCell ref="A4:L4"/>
    <mergeCell ref="A10:L10"/>
    <mergeCell ref="A19:L19"/>
    <mergeCell ref="A13:L13"/>
    <mergeCell ref="A9:L9"/>
    <mergeCell ref="A15:L15"/>
    <mergeCell ref="A11:L11"/>
    <mergeCell ref="A1:L1"/>
    <mergeCell ref="A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12" customWidth="1" min="3" max="3"/>
    <col width="13" customWidth="1" min="4" max="4"/>
    <col width="12" customWidth="1" min="5" max="5"/>
    <col width="13" customWidth="1" min="6" max="6"/>
    <col width="58" customWidth="1" min="7" max="7"/>
  </cols>
  <sheetData>
    <row r="1">
      <c r="A1" s="8" t="inlineStr">
        <is>
          <t>Scorecard — resultado por execução</t>
        </is>
      </c>
    </row>
    <row r="2">
      <c r="A2" s="9" t="inlineStr">
        <is>
          <t>Calculado automaticamente a partir das abas Execução 1, Execução 2 e Convergentes. "Pendente" = ainda não preenchido.</t>
        </is>
      </c>
    </row>
    <row r="4">
      <c r="A4" s="10" t="inlineStr">
        <is>
          <t>Critério</t>
        </is>
      </c>
      <c r="B4" s="10" t="inlineStr">
        <is>
          <t>Meta</t>
        </is>
      </c>
      <c r="C4" s="10" t="inlineStr">
        <is>
          <t>Execução 1</t>
        </is>
      </c>
      <c r="D4" s="10" t="inlineStr">
        <is>
          <t>Status 1</t>
        </is>
      </c>
      <c r="E4" s="10" t="inlineStr">
        <is>
          <t>Execução 2</t>
        </is>
      </c>
      <c r="F4" s="10" t="inlineStr">
        <is>
          <t>Status 2</t>
        </is>
      </c>
      <c r="G4" s="10" t="inlineStr">
        <is>
          <t>Se não atender, ajuste na persona</t>
        </is>
      </c>
    </row>
    <row r="5">
      <c r="A5" s="11" t="inlineStr">
        <is>
          <t>Citações não fiéis (nº)</t>
        </is>
      </c>
      <c r="B5" s="12">
        <f> 0</f>
        <v/>
      </c>
      <c r="C5" s="12">
        <f>IF((COUNTIF('Execução 1'!F5:F16,"S")+COUNTIF('Execução 1'!F5:F16,"N"))=0,"",COUNTIF('Execução 1'!I5:J16,"N")+COUNTIF('Execução 1'!I29:I48,"N"))</f>
        <v/>
      </c>
      <c r="D5" s="12">
        <f>IF(C5="","Pendente",IF(C5=0,"Atende","Não atende"))</f>
        <v/>
      </c>
      <c r="E5" s="12">
        <f>IF((COUNTIF('Execução 2'!F5:F16,"S")+COUNTIF('Execução 2'!F5:F16,"N"))=0,"",COUNTIF('Execução 2'!I5:J16,"N")+COUNTIF('Execução 2'!I29:I48,"N"))</f>
        <v/>
      </c>
      <c r="F5" s="12">
        <f>IF(E5="","Pendente",IF(E5=0,"Atende","Não atende"))</f>
        <v/>
      </c>
      <c r="G5" s="12" t="inlineStr">
        <is>
          <t>[REGRAS DE EVIDÊNCIA] item 3 e [VERIFICAÇÃO DAS CITAÇÕES]</t>
        </is>
      </c>
    </row>
    <row r="6">
      <c r="A6" s="11" t="inlineStr">
        <is>
          <t>Verificação só de fachada (nº de FALHA)</t>
        </is>
      </c>
      <c r="B6" s="12">
        <f> 0</f>
        <v/>
      </c>
      <c r="C6" s="12">
        <f>IF((COUNTIF('Execução 1'!F5:F16,"S")+COUNTIF('Execução 1'!F5:F16,"N"))=0,"",COUNTIF('Execução 1'!O5:O16,"FALHA"))</f>
        <v/>
      </c>
      <c r="D6" s="12">
        <f>IF(C6="","Pendente",IF(C6=0,"Atende","Não atende"))</f>
        <v/>
      </c>
      <c r="E6" s="12">
        <f>IF((COUNTIF('Execução 2'!F5:F16,"S")+COUNTIF('Execução 2'!F5:F16,"N"))=0,"",COUNTIF('Execução 2'!O5:O16,"FALHA"))</f>
        <v/>
      </c>
      <c r="F6" s="12">
        <f>IF(E6="","Pendente",IF(E6=0,"Atende","Não atende"))</f>
        <v/>
      </c>
      <c r="G6" s="12" t="inlineStr">
        <is>
          <t>[VERIFICAÇÃO DAS CITAÇÕES]: tornar a releitura explícita na saída</t>
        </is>
      </c>
    </row>
    <row r="7">
      <c r="A7" s="11" t="inlineStr">
        <is>
          <t>Detecção de diferenças Crítica/Alta</t>
        </is>
      </c>
      <c r="B7" s="12">
        <f> 100%</f>
        <v/>
      </c>
      <c r="C7" s="13">
        <f>IF((COUNTIF('Execução 1'!F5:F16,"S")+COUNTIF('Execução 1'!F5:F16,"N"))=0,"",(COUNTIFS('Execução 1'!B5:B16,"Diferença plantada",'Execução 1'!D5:D16,"Alta",'Execução 1'!F5:F16,"S")+COUNTIFS('Execução 1'!B5:B16,"Diferença plantada",'Execução 1'!D5:D16,"Crítica",'Execução 1'!F5:F16,"S"))/(COUNTIFS('Execução 1'!B5:B16,"Diferença plantada",'Execução 1'!D5:D16,"Alta")+COUNTIFS('Execução 1'!B5:B16,"Diferença plantada",'Execução 1'!D5:D16,"Crítica")))</f>
        <v/>
      </c>
      <c r="D7" s="12">
        <f>IF(C7="","Pendente",IF(C7&gt;=1,"Atende","Não atende"))</f>
        <v/>
      </c>
      <c r="E7" s="13">
        <f>IF((COUNTIF('Execução 2'!F5:F16,"S")+COUNTIF('Execução 2'!F5:F16,"N"))=0,"",(COUNTIFS('Execução 2'!B5:B16,"Diferença plantada",'Execução 2'!D5:D16,"Alta",'Execução 2'!F5:F16,"S")+COUNTIFS('Execução 2'!B5:B16,"Diferença plantada",'Execução 2'!D5:D16,"Crítica",'Execução 2'!F5:F16,"S"))/(COUNTIFS('Execução 2'!B5:B16,"Diferença plantada",'Execução 2'!D5:D16,"Alta")+COUNTIFS('Execução 2'!B5:B16,"Diferença plantada",'Execução 2'!D5:D16,"Crítica")))</f>
        <v/>
      </c>
      <c r="F7" s="12">
        <f>IF(E7="","Pendente",IF(E7&gt;=1,"Atende","Não atende"))</f>
        <v/>
      </c>
      <c r="G7" s="12" t="inlineStr">
        <is>
          <t>[METODOLOGIA] Etapas 3–4 (eixo pela união dos tópicos; itens atômicos)</t>
        </is>
      </c>
    </row>
    <row r="8">
      <c r="A8" s="12" t="inlineStr">
        <is>
          <t>Detecção de diferenças (geral)</t>
        </is>
      </c>
      <c r="B8" s="12" t="inlineStr">
        <is>
          <t>≥ 90%</t>
        </is>
      </c>
      <c r="C8" s="13">
        <f>IF((COUNTIF('Execução 1'!F5:F16,"S")+COUNTIF('Execução 1'!F5:F16,"N"))=0,"",COUNTIFS('Execução 1'!B5:B16,"Diferença plantada",'Execução 1'!F5:F16,"S")/COUNTIF('Execução 1'!B5:B16,"Diferença plantada"))</f>
        <v/>
      </c>
      <c r="D8" s="12">
        <f>IF(C8="","Pendente",IF(C8&gt;=0.9,"Atende","Não atende"))</f>
        <v/>
      </c>
      <c r="E8" s="13">
        <f>IF((COUNTIF('Execução 2'!F5:F16,"S")+COUNTIF('Execução 2'!F5:F16,"N"))=0,"",COUNTIFS('Execução 2'!B5:B16,"Diferença plantada",'Execução 2'!F5:F16,"S")/COUNTIF('Execução 2'!B5:B16,"Diferença plantada"))</f>
        <v/>
      </c>
      <c r="F8" s="12">
        <f>IF(E8="","Pendente",IF(E8&gt;=0.9,"Atende","Não atende"))</f>
        <v/>
      </c>
      <c r="G8" s="12" t="inlineStr">
        <is>
          <t>[METODOLOGIA] Etapas 4, 6 e 7 (verificações transversais)</t>
        </is>
      </c>
    </row>
    <row r="9">
      <c r="A9" s="12" t="inlineStr">
        <is>
          <t>Armadilhas tratadas corretamente</t>
        </is>
      </c>
      <c r="B9" s="12">
        <f> 100%</f>
        <v/>
      </c>
      <c r="C9" s="13">
        <f>IF((COUNTIF('Execução 1'!F5:F16,"S")+COUNTIF('Execução 1'!F5:F16,"N"))=0,"",COUNTIFS('Execução 1'!B5:B16,"Armadilha",'Execução 1'!F5:F16,"S")/COUNTIF('Execução 1'!B5:B16,"Armadilha"))</f>
        <v/>
      </c>
      <c r="D9" s="12">
        <f>IF(C9="","Pendente",IF(C9&gt;=1,"Atende","Não atende"))</f>
        <v/>
      </c>
      <c r="E9" s="13">
        <f>IF((COUNTIF('Execução 2'!F5:F16,"S")+COUNTIF('Execução 2'!F5:F16,"N"))=0,"",COUNTIFS('Execução 2'!B5:B16,"Armadilha",'Execução 2'!F5:F16,"S")/COUNTIF('Execução 2'!B5:B16,"Armadilha"))</f>
        <v/>
      </c>
      <c r="F9" s="12">
        <f>IF(E9="","Pendente",IF(E9&gt;=1,"Atende","Não atende"))</f>
        <v/>
      </c>
      <c r="G9" s="12" t="inlineStr">
        <is>
          <t>[COMPORTAMENTO] ceticismo com equivalências; Etapa 4 (alinhar por significado)</t>
        </is>
      </c>
    </row>
    <row r="10">
      <c r="A10" s="12" t="inlineStr">
        <is>
          <t>Falsos positivos (nº)</t>
        </is>
      </c>
      <c r="B10" s="12" t="inlineStr">
        <is>
          <t>≤ 1</t>
        </is>
      </c>
      <c r="C10" s="12">
        <f>IF((COUNTIF('Execução 1'!F5:F16,"S")+COUNTIF('Execução 1'!F5:F16,"N"))=0,"",COUNTIFS('Execução 1'!B5:B16,"Armadilha",'Execução 1'!F5:F16,"N")+COUNTIF('Execução 1'!F29:F48,"N"))</f>
        <v/>
      </c>
      <c r="D10" s="12">
        <f>IF(C10="","Pendente",IF(C10&lt;=1,"Atende","Não atende"))</f>
        <v/>
      </c>
      <c r="E10" s="12">
        <f>IF((COUNTIF('Execução 2'!F5:F16,"S")+COUNTIF('Execução 2'!F5:F16,"N"))=0,"",COUNTIFS('Execução 2'!B5:B16,"Armadilha",'Execução 2'!F5:F16,"N")+COUNTIF('Execução 2'!F29:F48,"N"))</f>
        <v/>
      </c>
      <c r="F10" s="12">
        <f>IF(E10="","Pendente",IF(E10&lt;=1,"Atende","Não atende"))</f>
        <v/>
      </c>
      <c r="G10" s="12" t="inlineStr">
        <is>
          <t>[TAXONOMIA] EQV-S × DIV; regra sobre diferenças de forma</t>
        </is>
      </c>
    </row>
    <row r="11">
      <c r="A11" s="12" t="inlineStr">
        <is>
          <t>Localizador correto</t>
        </is>
      </c>
      <c r="B11" s="12" t="inlineStr">
        <is>
          <t>≥ 95%</t>
        </is>
      </c>
      <c r="C11" s="13">
        <f>IF((COUNTIF('Execução 1'!K5:K16,"S")+COUNTIF('Execução 1'!K29:K48,"S"))+(COUNTIF('Execução 1'!K5:K16,"N")+COUNTIF('Execução 1'!K29:K48,"N"))=0,"",(COUNTIF('Execução 1'!K5:K16,"S")+COUNTIF('Execução 1'!K29:K48,"S"))/((COUNTIF('Execução 1'!K5:K16,"S")+COUNTIF('Execução 1'!K29:K48,"S"))+(COUNTIF('Execução 1'!K5:K16,"N")+COUNTIF('Execução 1'!K29:K48,"N"))))</f>
        <v/>
      </c>
      <c r="D11" s="12">
        <f>IF(C11="","Pendente",IF(C11&gt;=0.95,"Atende","Não atende"))</f>
        <v/>
      </c>
      <c r="E11" s="13">
        <f>IF((COUNTIF('Execução 2'!K5:K16,"S")+COUNTIF('Execução 2'!K29:K48,"S"))+(COUNTIF('Execução 2'!K5:K16,"N")+COUNTIF('Execução 2'!K29:K48,"N"))=0,"",(COUNTIF('Execução 2'!K5:K16,"S")+COUNTIF('Execução 2'!K29:K48,"S"))/((COUNTIF('Execução 2'!K5:K16,"S")+COUNTIF('Execução 2'!K29:K48,"S"))+(COUNTIF('Execução 2'!K5:K16,"N")+COUNTIF('Execução 2'!K29:K48,"N"))))</f>
        <v/>
      </c>
      <c r="F11" s="12">
        <f>IF(E11="","Pendente",IF(E11&gt;=0.95,"Atende","Não atende"))</f>
        <v/>
      </c>
      <c r="G11" s="12" t="inlineStr">
        <is>
          <t>[LEITURA DA ENTRADA] página física × impressa; [REGRAS DE EVIDÊNCIA] item 2</t>
        </is>
      </c>
    </row>
    <row r="12">
      <c r="A12" s="12" t="inlineStr">
        <is>
          <t>Classificação (tipo) correta</t>
        </is>
      </c>
      <c r="B12" s="12" t="inlineStr">
        <is>
          <t>≥ 85%</t>
        </is>
      </c>
      <c r="C12" s="13">
        <f>IF((COUNTIF('Execução 1'!G5:G16,"S"))+(COUNTIF('Execução 1'!G5:G16,"N"))=0,"",(COUNTIF('Execução 1'!G5:G16,"S"))/((COUNTIF('Execução 1'!G5:G16,"S"))+(COUNTIF('Execução 1'!G5:G16,"N"))))</f>
        <v/>
      </c>
      <c r="D12" s="12">
        <f>IF(C12="","Pendente",IF(C12&gt;=0.85,"Atende","Não atende"))</f>
        <v/>
      </c>
      <c r="E12" s="13">
        <f>IF((COUNTIF('Execução 2'!G5:G16,"S"))+(COUNTIF('Execução 2'!G5:G16,"N"))=0,"",(COUNTIF('Execução 2'!G5:G16,"S"))/((COUNTIF('Execução 2'!G5:G16,"S"))+(COUNTIF('Execução 2'!G5:G16,"N"))))</f>
        <v/>
      </c>
      <c r="F12" s="12">
        <f>IF(E12="","Pendente",IF(E12&gt;=0.85,"Atende","Não atende"))</f>
        <v/>
      </c>
      <c r="G12" s="12" t="inlineStr">
        <is>
          <t>[TAXONOMIA DE ACHADOS] definições e exemplos</t>
        </is>
      </c>
    </row>
    <row r="13">
      <c r="A13" s="12" t="inlineStr">
        <is>
          <t>Ponto exato correto</t>
        </is>
      </c>
      <c r="B13" s="12" t="inlineStr">
        <is>
          <t>≥ 90%</t>
        </is>
      </c>
      <c r="C13" s="13">
        <f>IF((COUNTIF('Execução 1'!L5:L16,"S"))+(COUNTIF('Execução 1'!L5:L16,"N"))=0,"",(COUNTIF('Execução 1'!L5:L16,"S"))/((COUNTIF('Execução 1'!L5:L16,"S"))+(COUNTIF('Execução 1'!L5:L16,"N"))))</f>
        <v/>
      </c>
      <c r="D13" s="12">
        <f>IF(C13="","Pendente",IF(C13&gt;=0.9,"Atende","Não atende"))</f>
        <v/>
      </c>
      <c r="E13" s="13">
        <f>IF((COUNTIF('Execução 2'!L5:L16,"S"))+(COUNTIF('Execução 2'!L5:L16,"N"))=0,"",(COUNTIF('Execução 2'!L5:L16,"S"))/((COUNTIF('Execução 2'!L5:L16,"S"))+(COUNTIF('Execução 2'!L5:L16,"N"))))</f>
        <v/>
      </c>
      <c r="F13" s="12">
        <f>IF(E13="","Pendente",IF(E13&gt;=0.9,"Atende","Não atende"))</f>
        <v/>
      </c>
      <c r="G13" s="12" t="inlineStr">
        <is>
          <t>[METODOLOGIA] Etapa 6 e tabela "Ponto exato" do formato</t>
        </is>
      </c>
    </row>
    <row r="14">
      <c r="A14" s="12" t="inlineStr">
        <is>
          <t>Estado de não encontrado correto</t>
        </is>
      </c>
      <c r="B14" s="12" t="inlineStr">
        <is>
          <t>≥ 85%</t>
        </is>
      </c>
      <c r="C14" s="13">
        <f>IF((COUNTIF('Execução 1'!H5:H16,"S"))+(COUNTIF('Execução 1'!H5:H16,"N"))=0,"",(COUNTIF('Execução 1'!H5:H16,"S"))/((COUNTIF('Execução 1'!H5:H16,"S"))+(COUNTIF('Execução 1'!H5:H16,"N"))))</f>
        <v/>
      </c>
      <c r="D14" s="12">
        <f>IF(C14="","Pendente",IF(C14&gt;=0.85,"Atende","Não atende"))</f>
        <v/>
      </c>
      <c r="E14" s="13">
        <f>IF((COUNTIF('Execução 2'!H5:H16,"S"))+(COUNTIF('Execução 2'!H5:H16,"N"))=0,"",(COUNTIF('Execução 2'!H5:H16,"S"))/((COUNTIF('Execução 2'!H5:H16,"S"))+(COUNTIF('Execução 2'!H5:H16,"N"))))</f>
        <v/>
      </c>
      <c r="F14" s="12">
        <f>IF(E14="","Pendente",IF(E14&gt;=0.85,"Atende","Não atende"))</f>
        <v/>
      </c>
      <c r="G14" s="12" t="inlineStr">
        <is>
          <t>Tabela dos três estados; [REGRAS DE EVIDÊNCIA] item 5</t>
        </is>
      </c>
    </row>
    <row r="15">
      <c r="A15" s="12" t="inlineStr">
        <is>
          <t>Severidade adequada</t>
        </is>
      </c>
      <c r="B15" s="12" t="inlineStr">
        <is>
          <t>≥ 80%</t>
        </is>
      </c>
      <c r="C15" s="13">
        <f>IF((COUNTIF('Execução 1'!M5:M16,"S"))+(COUNTIF('Execução 1'!M5:M16,"N"))=0,"",(COUNTIF('Execução 1'!M5:M16,"S"))/((COUNTIF('Execução 1'!M5:M16,"S"))+(COUNTIF('Execução 1'!M5:M16,"N"))))</f>
        <v/>
      </c>
      <c r="D15" s="12">
        <f>IF(C15="","Pendente",IF(C15&gt;=0.8,"Atende","Não atende"))</f>
        <v/>
      </c>
      <c r="E15" s="13">
        <f>IF((COUNTIF('Execução 2'!M5:M16,"S"))+(COUNTIF('Execução 2'!M5:M16,"N"))=0,"",(COUNTIF('Execução 2'!M5:M16,"S"))/((COUNTIF('Execução 2'!M5:M16,"S"))+(COUNTIF('Execução 2'!M5:M16,"N"))))</f>
        <v/>
      </c>
      <c r="F15" s="12">
        <f>IF(E15="","Pendente",IF(E15&gt;=0.8,"Atende","Não atende"))</f>
        <v/>
      </c>
      <c r="G15" s="12" t="inlineStr">
        <is>
          <t>[CRITÉRIOS DE SEVERIDADE E CONFIANÇA]</t>
        </is>
      </c>
    </row>
    <row r="16">
      <c r="A16" s="12" t="inlineStr">
        <is>
          <t>Itens convergentes listados</t>
        </is>
      </c>
      <c r="B16" s="12" t="inlineStr">
        <is>
          <t>≥ 90%</t>
        </is>
      </c>
      <c r="C16" s="13">
        <f>IF((COUNTIF(Convergentes!E4:E18,"S"))+(COUNTIF(Convergentes!E4:E18,"N"))=0,"",(COUNTIF(Convergentes!E4:E18,"S"))/((COUNTIF(Convergentes!E4:E18,"S"))+(COUNTIF(Convergentes!E4:E18,"N"))))</f>
        <v/>
      </c>
      <c r="D16" s="12">
        <f>IF(C16="","Pendente",IF(C16&gt;=0.9,"Atende","Não atende"))</f>
        <v/>
      </c>
      <c r="E16" s="13">
        <f>IF((COUNTIF(Convergentes!F4:F18,"S"))+(COUNTIF(Convergentes!F4:F18,"N"))=0,"",(COUNTIF(Convergentes!F4:F18,"S"))/((COUNTIF(Convergentes!F4:F18,"S"))+(COUNTIF(Convergentes!F4:F18,"N"))))</f>
        <v/>
      </c>
      <c r="F16" s="12">
        <f>IF(E16="","Pendente",IF(E16&gt;=0.9,"Atende","Não atende"))</f>
        <v/>
      </c>
      <c r="G16" s="12" t="inlineStr">
        <is>
          <t>[FORMATO] seção 5; [METODOLOGIA] Etapa 9 (reconciliação)</t>
        </is>
      </c>
    </row>
    <row r="17">
      <c r="A17" s="12" t="inlineStr">
        <is>
          <t>Itens gerais da saída</t>
        </is>
      </c>
      <c r="B17" s="12">
        <f> 100%</f>
        <v/>
      </c>
      <c r="C17" s="13">
        <f>IF((COUNTIF('Execução 1'!F21:F26,"S"))+(COUNTIF('Execução 1'!F21:F26,"N"))=0,"",(COUNTIF('Execução 1'!F21:F26,"S"))/((COUNTIF('Execução 1'!F21:F26,"S"))+(COUNTIF('Execução 1'!F21:F26,"N"))))</f>
        <v/>
      </c>
      <c r="D17" s="12">
        <f>IF(C17="","Pendente",IF(C17&gt;=1,"Atende","Não atende"))</f>
        <v/>
      </c>
      <c r="E17" s="13">
        <f>IF((COUNTIF('Execução 2'!F21:F26,"S"))+(COUNTIF('Execução 2'!F21:F26,"N"))=0,"",(COUNTIF('Execução 2'!F21:F26,"S"))/((COUNTIF('Execução 2'!F21:F26,"S"))+(COUNTIF('Execução 2'!F21:F26,"N"))))</f>
        <v/>
      </c>
      <c r="F17" s="12">
        <f>IF(E17="","Pendente",IF(E17&gt;=1,"Atende","Não atende"))</f>
        <v/>
      </c>
      <c r="G17" s="12" t="inlineStr">
        <is>
          <t>[FORMATO DE SAÍDA PADRÃO] seções 1, 2, 6 e 7</t>
        </is>
      </c>
    </row>
    <row r="19">
      <c r="A19" s="12" t="inlineStr">
        <is>
          <t>Consistência entre execuções (diferenças plantadas com o mesmo resultado)</t>
        </is>
      </c>
      <c r="B19" s="12" t="inlineStr">
        <is>
          <t>≥ 90%</t>
        </is>
      </c>
      <c r="C19" s="13">
        <f>IF(OR(COUNTIF('Execução 1'!F5:F16,"S")+COUNTIF('Execução 1'!F5:F16,"N")=0,COUNTIF('Execução 2'!F5:F16,"S")+COUNTIF('Execução 2'!F5:F16,"N")=0),"",SUMPRODUCT(--('Execução 1'!F5:F16='Execução 2'!F5:F16),--('Execução 1'!B5:B16="Diferença plantada"))/COUNTIF('Execução 1'!B5:B16,"Diferença plantada"))</f>
        <v/>
      </c>
      <c r="D19" s="12">
        <f>IF(C19="","Pendente",IF(C19&gt;=0.9,"Atende","Não atende"))</f>
        <v/>
      </c>
      <c r="E19" s="12" t="n"/>
      <c r="F19" s="12" t="n"/>
      <c r="G19" s="12" t="inlineStr">
        <is>
          <t>Se baixa: tornar regras mais explícitas e reduzir margens de interpretação</t>
        </is>
      </c>
    </row>
    <row r="21">
      <c r="A21" s="11" t="inlineStr">
        <is>
          <t>Resultado geral</t>
        </is>
      </c>
      <c r="B21" s="12" t="n"/>
      <c r="C21" s="12" t="inlineStr">
        <is>
          <t>Execução 1</t>
        </is>
      </c>
      <c r="D21" s="12">
        <f>IF(COUNTIF(D5:D17,"Pendente")&gt;0,"Pendente",IF(COUNTIF(D5:D7,"Não atende")&gt;0,"Reprovado",IF(COUNTIF(D5:D17,"Não atende")&gt;0,"Ajustar persona","Aprovado")))</f>
        <v/>
      </c>
      <c r="E21" s="12" t="inlineStr">
        <is>
          <t>Execução 2</t>
        </is>
      </c>
      <c r="F21" s="12">
        <f>IF(COUNTIF(F5:F17,"Pendente")&gt;0,"Pendente",IF(COUNTIF(F5:F7,"Não atende")&gt;0,"Reprovado",IF(COUNTIF(F5:F17,"Não atende")&gt;0,"Ajustar persona","Aprovado")))</f>
        <v/>
      </c>
      <c r="G21" s="12" t="n"/>
    </row>
    <row r="22">
      <c r="A22" s="14" t="inlineStr">
        <is>
          <t>Reprovado = falhou em um dos 3 primeiros critérios (citações, verificação ou detecção de Crítica/Alta). Ajustar persona = falhou em algum outro critério. Rode de novo só os casos que falharam após ajustar.</t>
        </is>
      </c>
    </row>
  </sheetData>
  <mergeCells count="2">
    <mergeCell ref="D19:F19"/>
    <mergeCell ref="A22:G22"/>
  </mergeCells>
  <conditionalFormatting sqref="D5:D21">
    <cfRule type="cellIs" priority="1" operator="equal" dxfId="0">
      <formula>"Atende"</formula>
    </cfRule>
    <cfRule type="cellIs" priority="2" operator="equal" dxfId="0">
      <formula>"Aprovado"</formula>
    </cfRule>
    <cfRule type="cellIs" priority="3" operator="equal" dxfId="1">
      <formula>"Não atende"</formula>
    </cfRule>
    <cfRule type="cellIs" priority="4" operator="equal" dxfId="1">
      <formula>"Reprovado"</formula>
    </cfRule>
    <cfRule type="cellIs" priority="5" operator="equal" dxfId="2">
      <formula>"Ajustar persona"</formula>
    </cfRule>
  </conditionalFormatting>
  <conditionalFormatting sqref="F5:F21">
    <cfRule type="cellIs" priority="6" operator="equal" dxfId="0">
      <formula>"Atende"</formula>
    </cfRule>
    <cfRule type="cellIs" priority="7" operator="equal" dxfId="0">
      <formula>"Aprovado"</formula>
    </cfRule>
    <cfRule type="cellIs" priority="8" operator="equal" dxfId="1">
      <formula>"Não atende"</formula>
    </cfRule>
    <cfRule type="cellIs" priority="9" operator="equal" dxfId="1">
      <formula>"Reprovado"</formula>
    </cfRule>
    <cfRule type="cellIs" priority="10" operator="equal" dxfId="2">
      <formula>"Ajustar persona"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7" customWidth="1" min="2" max="2"/>
    <col width="9" customWidth="1" min="3" max="3"/>
    <col width="16" customWidth="1" min="4" max="4"/>
    <col width="11" customWidth="1" min="5" max="5"/>
    <col width="16" customWidth="1" min="6" max="6"/>
    <col width="24" customWidth="1" min="7" max="7"/>
    <col width="24" customWidth="1" min="8" max="8"/>
    <col width="48" customWidth="1" min="9" max="9"/>
    <col width="22" customWidth="1" min="10" max="10"/>
    <col width="48" customWidth="1" min="11" max="11"/>
    <col width="36" customWidth="1" min="12" max="12"/>
    <col width="36" customWidth="1" min="13" max="13"/>
  </cols>
  <sheetData>
    <row r="1">
      <c r="A1" s="8" t="inlineStr">
        <is>
          <t>Gabarito — diferenças plantadas e armadilhas (DOC-A = contrato v1 em PDF · DOC-B = contrato v2 em DOCX)</t>
        </is>
      </c>
    </row>
    <row r="2">
      <c r="A2" s="9" t="inlineStr">
        <is>
          <t>DOC-A tem capa sem número: página física = página impressa + 1. DOC-B (DOCX) não tem paginação fixa; o localizador é a cláusula.</t>
        </is>
      </c>
    </row>
    <row r="3">
      <c r="A3" s="15" t="inlineStr">
        <is>
          <t>Gabarito v3 (15/10/2026): G07 e G08 exigem um único achado (regra de unidade do achado). v2: severidade de G02, G08, G09 e G10 em Alta; tipos aceitáveis alinhados às regras de desempate.</t>
        </is>
      </c>
    </row>
    <row r="4">
      <c r="A4" s="10" t="inlineStr">
        <is>
          <t>ID</t>
        </is>
      </c>
      <c r="B4" s="10" t="inlineStr">
        <is>
          <t>Categoria</t>
        </is>
      </c>
      <c r="C4" s="10" t="inlineStr">
        <is>
          <t>Tipo esperado</t>
        </is>
      </c>
      <c r="D4" s="10" t="inlineStr">
        <is>
          <t>Tipo aceitável</t>
        </is>
      </c>
      <c r="E4" s="10" t="inlineStr">
        <is>
          <t>Severidade esperada</t>
        </is>
      </c>
      <c r="F4" s="10" t="inlineStr">
        <is>
          <t>Estado esperado</t>
        </is>
      </c>
      <c r="G4" s="10" t="inlineStr">
        <is>
          <t>Tópico</t>
        </is>
      </c>
      <c r="H4" s="10" t="inlineStr">
        <is>
          <t>Localizador DOC-A</t>
        </is>
      </c>
      <c r="I4" s="10" t="inlineStr">
        <is>
          <t>Texto literal DOC-A</t>
        </is>
      </c>
      <c r="J4" s="10" t="inlineStr">
        <is>
          <t>Localizador DOC-B</t>
        </is>
      </c>
      <c r="K4" s="10" t="inlineStr">
        <is>
          <t>Texto literal DOC-B</t>
        </is>
      </c>
      <c r="L4" s="10" t="inlineStr">
        <is>
          <t>Elemento divergente</t>
        </is>
      </c>
      <c r="M4" s="10" t="inlineStr">
        <is>
          <t>O que testa</t>
        </is>
      </c>
    </row>
    <row r="5">
      <c r="A5" s="11" t="inlineStr">
        <is>
          <t>G01</t>
        </is>
      </c>
      <c r="B5" s="12" t="inlineStr">
        <is>
          <t>Diferença plantada</t>
        </is>
      </c>
      <c r="C5" s="12" t="inlineStr">
        <is>
          <t>CTR</t>
        </is>
      </c>
      <c r="D5" s="12" t="inlineStr">
        <is>
          <t>CTR / ALTERADO</t>
        </is>
      </c>
      <c r="E5" s="12" t="inlineStr">
        <is>
          <t>Alta</t>
        </is>
      </c>
      <c r="F5" s="12" t="inlineStr">
        <is>
          <t>Encontrado nos dois</t>
        </is>
      </c>
      <c r="G5" s="12" t="inlineStr">
        <is>
          <t>Prazo de correção de falhas críticas</t>
        </is>
      </c>
      <c r="H5" s="12" t="inlineStr">
        <is>
          <t>Cl. 4.2 · pág. física 3 (impressa 2)</t>
        </is>
      </c>
      <c r="I5" s="12" t="inlineStr">
        <is>
          <t>A CONTRATADA deverá concluir a correção de falhas de severidade crítica em até 30 (trinta) dias corridos, contados da abertura do chamado.</t>
        </is>
      </c>
      <c r="J5" s="12" t="inlineStr">
        <is>
          <t>Cl. 4.2</t>
        </is>
      </c>
      <c r="K5" s="12" t="inlineStr">
        <is>
          <t>A CONTRATADA deverá concluir a correção de falhas de severidade crítica em até 45 (quarenta e cinco) dias corridos, contados da abertura do chamado.</t>
        </is>
      </c>
      <c r="L5" s="12" t="inlineStr">
        <is>
          <t>Prazo: 30 dias corridos (A) × 45 dias corridos (B)</t>
        </is>
      </c>
      <c r="M5" s="12" t="inlineStr">
        <is>
          <t>Contradição de valor numérico; isolamento do elemento exato.</t>
        </is>
      </c>
    </row>
    <row r="6">
      <c r="A6" s="11" t="inlineStr">
        <is>
          <t>G02</t>
        </is>
      </c>
      <c r="B6" s="12" t="inlineStr">
        <is>
          <t>Diferença plantada</t>
        </is>
      </c>
      <c r="C6" s="12" t="inlineStr">
        <is>
          <t>CTR</t>
        </is>
      </c>
      <c r="D6" s="12" t="inlineStr">
        <is>
          <t>CTR / ALTERADO</t>
        </is>
      </c>
      <c r="E6" s="12" t="inlineStr">
        <is>
          <t>Alta</t>
        </is>
      </c>
      <c r="F6" s="12" t="inlineStr">
        <is>
          <t>Encontrado nos dois</t>
        </is>
      </c>
      <c r="G6" s="12" t="inlineStr">
        <is>
          <t>Relatório mensal de desempenho</t>
        </is>
      </c>
      <c r="H6" s="12" t="inlineStr">
        <is>
          <t>Cl. 5.2 · pág. física 3 (impressa 2)</t>
        </is>
      </c>
      <c r="I6" s="12" t="inlineStr">
        <is>
          <t>A CONTRATADA deverá emitir relatório mensal de desempenho até o 5º (quinto) dia útil de cada mês.</t>
        </is>
      </c>
      <c r="J6" s="12" t="inlineStr">
        <is>
          <t>Cl. 5.2</t>
        </is>
      </c>
      <c r="K6" s="12" t="inlineStr">
        <is>
          <t>A CONTRATADA poderá emitir relatório mensal de desempenho até o 5º (quinto) dia útil de cada mês.</t>
        </is>
      </c>
      <c r="L6" s="12" t="inlineStr">
        <is>
          <t>Modalidade: "deverá" (obrigação, A) × "poderá" (faculdade, B)</t>
        </is>
      </c>
      <c r="M6" s="12" t="inlineStr">
        <is>
          <t>Mudança de modalidade com o resto da frase idêntico.</t>
        </is>
      </c>
    </row>
    <row r="7">
      <c r="A7" s="11" t="inlineStr">
        <is>
          <t>G03</t>
        </is>
      </c>
      <c r="B7" s="12" t="inlineStr">
        <is>
          <t>Diferença plantada</t>
        </is>
      </c>
      <c r="C7" s="12" t="inlineStr">
        <is>
          <t>EXC</t>
        </is>
      </c>
      <c r="D7" s="12" t="inlineStr">
        <is>
          <t>EXC / REMOVIDO</t>
        </is>
      </c>
      <c r="E7" s="12" t="inlineStr">
        <is>
          <t>Alta</t>
        </is>
      </c>
      <c r="F7" s="12" t="inlineStr">
        <is>
          <t>NÃO PRESENTE em DOC-B</t>
        </is>
      </c>
      <c r="G7" s="12" t="inlineStr">
        <is>
          <t>Seguro de responsabilidade civil</t>
        </is>
      </c>
      <c r="H7" s="12" t="inlineStr">
        <is>
          <t>Cl. 10.1 · pág. física 5 (impressa 4)</t>
        </is>
      </c>
      <c r="I7" s="12" t="inlineStr">
        <is>
          <t>A CONTRATADA manterá, durante toda a vigência deste contrato, apólice de seguro de responsabilidade civil profissional com cobertura mínima de R$ 500.000,00 (quinhentos mil reais).</t>
        </is>
      </c>
      <c r="J7" s="12" t="inlineStr">
        <is>
          <t>— (NÃO PRESENTE)</t>
        </is>
      </c>
      <c r="K7" s="12" t="inlineStr">
        <is>
          <t>— Não há cláusula de seguro em DOC-B. Termos para busca: "seguro", "apólice", "responsabilidade civil".</t>
        </is>
      </c>
      <c r="L7" s="12" t="inlineStr">
        <is>
          <t>Obrigação de seguro (cobertura mínima R$ 500.000,00) existe só em A</t>
        </is>
      </c>
      <c r="M7" s="12" t="inlineStr">
        <is>
          <t>Evidência de ausência: seções verificadas e termos buscados em B.</t>
        </is>
      </c>
    </row>
    <row r="8">
      <c r="A8" s="11" t="inlineStr">
        <is>
          <t>G04</t>
        </is>
      </c>
      <c r="B8" s="12" t="inlineStr">
        <is>
          <t>Diferença plantada</t>
        </is>
      </c>
      <c r="C8" s="12" t="inlineStr">
        <is>
          <t>DIV</t>
        </is>
      </c>
      <c r="D8" s="12" t="inlineStr">
        <is>
          <t>DIV / INCLUÍDO</t>
        </is>
      </c>
      <c r="E8" s="12" t="inlineStr">
        <is>
          <t>Média</t>
        </is>
      </c>
      <c r="F8" s="12" t="inlineStr">
        <is>
          <t>Encontrado nos dois</t>
        </is>
      </c>
      <c r="G8" s="12" t="inlineStr">
        <is>
          <t>Rescisão</t>
        </is>
      </c>
      <c r="H8" s="12" t="inlineStr">
        <is>
          <t>Cl. 9.1 · pág. física 5 (impressa 4)</t>
        </is>
      </c>
      <c r="I8" s="12" t="inlineStr">
        <is>
          <t>Qualquer das partes poderá rescindir este contrato mediante notificação por escrito, com antecedência mínima de 30 (trinta) dias.</t>
        </is>
      </c>
      <c r="J8" s="12" t="inlineStr">
        <is>
          <t>Cl. 9.1 e 9.2</t>
        </is>
      </c>
      <c r="K8" s="12" t="inlineStr">
        <is>
          <t>9.1: Qualquer das partes poderá rescindir este contrato mediante notificação por escrito, com antecedência mínima de 30 (trinta) dias. ‖ 9.2: A rescisão por iniciativa da CONTRATANTE dependerá de prévia aprovação de sua Diretoria Jurídica.</t>
        </is>
      </c>
      <c r="L8" s="12" t="inlineStr">
        <is>
          <t>Condição adicional em B: rescisão pela CONTRATANTE depende de aprovação da Diretoria Jurídica</t>
        </is>
      </c>
      <c r="M8" s="12" t="inlineStr">
        <is>
          <t>Condição nova que coexiste com a regra original (não é contradição).</t>
        </is>
      </c>
    </row>
    <row r="9">
      <c r="A9" s="11" t="inlineStr">
        <is>
          <t>G05</t>
        </is>
      </c>
      <c r="B9" s="12" t="inlineStr">
        <is>
          <t>Diferença plantada</t>
        </is>
      </c>
      <c r="C9" s="12" t="inlineStr">
        <is>
          <t>NCL</t>
        </is>
      </c>
      <c r="D9" s="12" t="inlineStr">
        <is>
          <t>NCL / ALTERADO</t>
        </is>
      </c>
      <c r="E9" s="12" t="inlineStr">
        <is>
          <t>Alta</t>
        </is>
      </c>
      <c r="F9" s="12" t="inlineStr">
        <is>
          <t>NÃO CLARO em DOC-B</t>
        </is>
      </c>
      <c r="G9" s="12" t="inlineStr">
        <is>
          <t>Penalidade por descumprimento de prazos</t>
        </is>
      </c>
      <c r="H9" s="12" t="inlineStr">
        <is>
          <t>Cl. 8.1 · pág. física 4 (impressa 3)</t>
        </is>
      </c>
      <c r="I9" s="12" t="inlineStr">
        <is>
          <t>O descumprimento dos prazos previstos na Cláusula 4 sujeitará a CONTRATADA a multa de 2% (dois por cento) sobre o valor mensal, por ocorrência.</t>
        </is>
      </c>
      <c r="J9" s="12" t="inlineStr">
        <is>
          <t>Cl. 8.1</t>
        </is>
      </c>
      <c r="K9" s="12" t="inlineStr">
        <is>
          <t>O descumprimento dos prazos previstos na Cláusula 4 poderá ensejar a aplicação das medidas cabíveis.</t>
        </is>
      </c>
      <c r="L9" s="12" t="inlineStr">
        <is>
          <t>Multa de 2% por ocorrência (A) × "medidas cabíveis", sem natureza nem valor (B)</t>
        </is>
      </c>
      <c r="M9" s="12" t="inlineStr">
        <is>
          <t>Uso do estado NÃO CLARO em vez de NÃO PRESENTE.</t>
        </is>
      </c>
    </row>
    <row r="10">
      <c r="A10" s="16" t="inlineStr">
        <is>
          <t>G06</t>
        </is>
      </c>
      <c r="B10" s="17" t="inlineStr">
        <is>
          <t>Armadilha</t>
        </is>
      </c>
      <c r="C10" s="17" t="inlineStr">
        <is>
          <t>EQV-S</t>
        </is>
      </c>
      <c r="D10" s="17" t="inlineStr">
        <is>
          <t>EQV-S</t>
        </is>
      </c>
      <c r="E10" s="17" t="inlineStr">
        <is>
          <t>Informativa</t>
        </is>
      </c>
      <c r="F10" s="17" t="inlineStr">
        <is>
          <t>Encontrado nos dois</t>
        </is>
      </c>
      <c r="G10" s="17" t="inlineStr">
        <is>
          <t>Prazo de pagamento</t>
        </is>
      </c>
      <c r="H10" s="17" t="inlineStr">
        <is>
          <t>Cl. 7.2 · pág. física 4 (impressa 3)</t>
        </is>
      </c>
      <c r="I10" s="17" t="inlineStr">
        <is>
          <t>O pagamento será efetuado em até 30 (trinta) dias após o recebimento da nota fiscal.</t>
        </is>
      </c>
      <c r="J10" s="17" t="inlineStr">
        <is>
          <t>Cl. 7.2</t>
        </is>
      </c>
      <c r="K10" s="17" t="inlineStr">
        <is>
          <t>O pagamento ocorrerá no prazo máximo de trinta dias, contado do recebimento da nota fiscal.</t>
        </is>
      </c>
      <c r="L10" s="17" t="inlineStr">
        <is>
          <t>Nenhum: "em até 30 (trinta) dias após" = "no prazo máximo de trinta dias, contado do"</t>
        </is>
      </c>
      <c r="M10" s="17" t="inlineStr">
        <is>
          <t>Falso positivo: redação diferente com o mesmo efeito. Correto = listar como convergente.</t>
        </is>
      </c>
    </row>
    <row r="11">
      <c r="A11" s="11" t="inlineStr">
        <is>
          <t>G07</t>
        </is>
      </c>
      <c r="B11" s="12" t="inlineStr">
        <is>
          <t>Diferença plantada</t>
        </is>
      </c>
      <c r="C11" s="12" t="inlineStr">
        <is>
          <t>TER</t>
        </is>
      </c>
      <c r="D11" s="12" t="inlineStr">
        <is>
          <t>TER / ALTERADO — um único achado (TER entre versões + TER interno = duplicação)</t>
        </is>
      </c>
      <c r="E11" s="12" t="inlineStr">
        <is>
          <t>Média</t>
        </is>
      </c>
      <c r="F11" s="12" t="inlineStr">
        <is>
          <t>Encontrado nos dois</t>
        </is>
      </c>
      <c r="G11" s="12" t="inlineStr">
        <is>
          <t>Denominação da parte contratante</t>
        </is>
      </c>
      <c r="H11" s="12" t="inlineStr">
        <is>
          <t>Cl. 6.1 e 6.2 · pág. física 4 (impressa 3)</t>
        </is>
      </c>
      <c r="I11" s="12" t="inlineStr">
        <is>
          <t>6.1: A CONTRATANTE deverá fornecer à CONTRATADA acesso remoto ao ambiente do sistema, nos termos da política de segurança da informação da CONTRATANTE. ‖ 6.2: A CONTRATANTE deverá designar um gestor do contrato, responsável por acompanhar a execução dos serviços.</t>
        </is>
      </c>
      <c r="J11" s="12" t="inlineStr">
        <is>
          <t>Cl. 6 (título, 6.1 e 6.2)</t>
        </is>
      </c>
      <c r="K11" s="12" t="inlineStr">
        <is>
          <t>Título: Cláusula 6 – Das Obrigações do CLIENTE ‖ 6.1: O CLIENTE deverá fornecer à CONTRATADA acesso remoto ao ambiente do sistema, nos termos da política de segurança da informação do CLIENTE. ‖ 6.2: O CLIENTE deverá designar um gestor do contrato, responsável por acompanhar a execução dos serviços.</t>
        </is>
      </c>
      <c r="L11" s="12" t="inlineStr">
        <is>
          <t>"CONTRATANTE" (A; definido em 1.1) × "CLIENTE" (B, Cláusula 6; termo não definido em B 1.1)</t>
        </is>
      </c>
      <c r="M11" s="12" t="inlineStr">
        <is>
          <t>Inconsistência terminológica; termo não definido.</t>
        </is>
      </c>
    </row>
    <row r="12">
      <c r="A12" s="11" t="inlineStr">
        <is>
          <t>G08</t>
        </is>
      </c>
      <c r="B12" s="12" t="inlineStr">
        <is>
          <t>Diferença plantada</t>
        </is>
      </c>
      <c r="C12" s="12" t="inlineStr">
        <is>
          <t>REF</t>
        </is>
      </c>
      <c r="D12" s="12" t="inlineStr">
        <is>
          <t>REF / ALTERADO — um único achado (CTR na 12.1 + REF = duplicação)</t>
        </is>
      </c>
      <c r="E12" s="12" t="inlineStr">
        <is>
          <t>Alta</t>
        </is>
      </c>
      <c r="F12" s="12" t="inlineStr">
        <is>
          <t>Encontrado nos dois</t>
        </is>
      </c>
      <c r="G12" s="12" t="inlineStr">
        <is>
          <t>Anexos que integram o contrato</t>
        </is>
      </c>
      <c r="H12" s="12" t="inlineStr">
        <is>
          <t>Cl. 12.1 · pág. física 6 (impressa 5)</t>
        </is>
      </c>
      <c r="I12" s="12" t="inlineStr">
        <is>
          <t>Integram este contrato o Anexo I (Descrição dos Serviços) e o Anexo II (Matriz de Severidade).</t>
        </is>
      </c>
      <c r="J12" s="12" t="inlineStr">
        <is>
          <t>Cl. 12.1</t>
        </is>
      </c>
      <c r="K12" s="12" t="inlineStr">
        <is>
          <t>Integram este contrato o Anexo I (Descrição dos Serviços) e o Anexo IV (Matriz de Severidade).</t>
        </is>
      </c>
      <c r="L12" s="12" t="inlineStr">
        <is>
          <t>B cita "Anexo IV (Matriz de Severidade)", mas o anexo existente em B é o Anexo II</t>
        </is>
      </c>
      <c r="M12" s="12" t="inlineStr">
        <is>
          <t>Referência cruzada quebrada.</t>
        </is>
      </c>
    </row>
    <row r="13">
      <c r="A13" s="11" t="inlineStr">
        <is>
          <t>G09</t>
        </is>
      </c>
      <c r="B13" s="12" t="inlineStr">
        <is>
          <t>Diferença plantada</t>
        </is>
      </c>
      <c r="C13" s="12" t="inlineStr">
        <is>
          <t>INT</t>
        </is>
      </c>
      <c r="D13" s="12" t="inlineStr">
        <is>
          <t>INT (achado separado do G10)</t>
        </is>
      </c>
      <c r="E13" s="12" t="inlineStr">
        <is>
          <t>Alta</t>
        </is>
      </c>
      <c r="F13" s="12" t="inlineStr">
        <is>
          <t>Encontrado (interno a B)</t>
        </is>
      </c>
      <c r="G13" s="12" t="inlineStr">
        <is>
          <t>Prazo de atendimento de severidade baixa (interno a DOC-B)</t>
        </is>
      </c>
      <c r="H13" s="12" t="inlineStr">
        <is>
          <t>— (contradição interna de DOC-B)</t>
        </is>
      </c>
      <c r="I13" s="12" t="inlineStr">
        <is>
          <t>—</t>
        </is>
      </c>
      <c r="J13" s="12" t="inlineStr">
        <is>
          <t>Cl. 4.3 × Anexo II (tabela, linha Baixa)</t>
        </is>
      </c>
      <c r="K13" s="12" t="inlineStr">
        <is>
          <t>4.3: Os chamados de severidade baixa serão atendidos em até 5 (cinco) dias úteis, conforme a Matriz de Severidade do Anexo II. ‖ Anexo II: Baixa | Dúvida ou falha sem impacto operacional | Até 10 dias úteis</t>
        </is>
      </c>
      <c r="L13" s="12" t="inlineStr">
        <is>
          <t>DOC-B 4.3: 5 dias úteis × DOC-B Anexo II: 10 dias úteis</t>
        </is>
      </c>
      <c r="M13" s="12" t="inlineStr">
        <is>
          <t>Contradição dentro do mesmo documento (inclui leitura de tabela).</t>
        </is>
      </c>
    </row>
    <row r="14">
      <c r="A14" s="11" t="inlineStr">
        <is>
          <t>G10</t>
        </is>
      </c>
      <c r="B14" s="12" t="inlineStr">
        <is>
          <t>Diferença plantada</t>
        </is>
      </c>
      <c r="C14" s="12" t="inlineStr">
        <is>
          <t>CTR</t>
        </is>
      </c>
      <c r="D14" s="12" t="inlineStr">
        <is>
          <t>CTR / ALTERADO (achado separado do G09)</t>
        </is>
      </c>
      <c r="E14" s="12" t="inlineStr">
        <is>
          <t>Alta</t>
        </is>
      </c>
      <c r="F14" s="12" t="inlineStr">
        <is>
          <t>Encontrado nos dois</t>
        </is>
      </c>
      <c r="G14" s="12" t="inlineStr">
        <is>
          <t>Matriz de Severidade: severidade baixa</t>
        </is>
      </c>
      <c r="H14" s="12" t="inlineStr">
        <is>
          <t>Anexo II, tabela, linha Baixa · pág. física 7 (impressa 6)</t>
        </is>
      </c>
      <c r="I14" s="12" t="inlineStr">
        <is>
          <t>Baixa | Dúvida ou falha sem impacto operacional | Até 5 dias úteis</t>
        </is>
      </c>
      <c r="J14" s="12" t="inlineStr">
        <is>
          <t>Anexo II, tabela, linha Baixa</t>
        </is>
      </c>
      <c r="K14" s="12" t="inlineStr">
        <is>
          <t>Baixa | Dúvida ou falha sem impacto operacional | Até 10 dias úteis</t>
        </is>
      </c>
      <c r="L14" s="12" t="inlineStr">
        <is>
          <t>Prazo de severidade baixa na matriz: 5 dias úteis (A) × 10 dias úteis (B)</t>
        </is>
      </c>
      <c r="M14" s="12" t="inlineStr">
        <is>
          <t>Contradição em tabela; comparação de anexos.</t>
        </is>
      </c>
    </row>
    <row r="15">
      <c r="A15" s="16" t="inlineStr">
        <is>
          <t>G11</t>
        </is>
      </c>
      <c r="B15" s="17" t="inlineStr">
        <is>
          <t>Armadilha</t>
        </is>
      </c>
      <c r="C15" s="17" t="inlineStr">
        <is>
          <t>EQV-L</t>
        </is>
      </c>
      <c r="D15" s="17" t="inlineStr">
        <is>
          <t>EQV-L (relocalizado)</t>
        </is>
      </c>
      <c r="E15" s="17" t="inlineStr">
        <is>
          <t>Informativa</t>
        </is>
      </c>
      <c r="F15" s="17" t="inlineStr">
        <is>
          <t>Encontrado nos dois</t>
        </is>
      </c>
      <c r="G15" s="17" t="inlineStr">
        <is>
          <t>Confidencialidade</t>
        </is>
      </c>
      <c r="H15" s="17" t="inlineStr">
        <is>
          <t>Cl. 5.3 · pág. física 3 (impressa 2)</t>
        </is>
      </c>
      <c r="I15" s="17" t="inlineStr">
        <is>
          <t>A CONTRATADA deverá manter sigilo sobre todas as informações da CONTRATANTE a que tiver acesso em razão deste contrato, durante a vigência e por 5 (cinco) anos após o seu término.</t>
        </is>
      </c>
      <c r="J15" s="17" t="inlineStr">
        <is>
          <t>Cl. 11.1</t>
        </is>
      </c>
      <c r="K15" s="17" t="inlineStr">
        <is>
          <t>A CONTRATADA deverá manter sigilo sobre todas as informações da CONTRATANTE a que tiver acesso em razão deste contrato, durante a vigência e por 5 (cinco) anos após o seu término.</t>
        </is>
      </c>
      <c r="L15" s="17" t="inlineStr">
        <is>
          <t>Nenhum: mesmo texto, movido de 5.3 (A) para 11.1 (B)</t>
        </is>
      </c>
      <c r="M15" s="17" t="inlineStr">
        <is>
          <t>Alinhamento por significado: não deve virar "removido" + "incluído" e deve aparecer só em Itens convergentes (não como achado). Correto = S só se as duas condições forem atendidas.</t>
        </is>
      </c>
    </row>
    <row r="16">
      <c r="A16" s="16" t="inlineStr">
        <is>
          <t>G12</t>
        </is>
      </c>
      <c r="B16" s="17" t="inlineStr">
        <is>
          <t>Armadilha</t>
        </is>
      </c>
      <c r="C16" s="17" t="inlineStr">
        <is>
          <t>EQV-L</t>
        </is>
      </c>
      <c r="D16" s="17" t="inlineStr">
        <is>
          <t>EQV-L (renumerado)</t>
        </is>
      </c>
      <c r="E16" s="17" t="inlineStr">
        <is>
          <t>Informativa</t>
        </is>
      </c>
      <c r="F16" s="17" t="inlineStr">
        <is>
          <t>Encontrado nos dois</t>
        </is>
      </c>
      <c r="G16" s="17" t="inlineStr">
        <is>
          <t>Proteção de dados pessoais</t>
        </is>
      </c>
      <c r="H16" s="17" t="inlineStr">
        <is>
          <t>Cl. 11.1 · pág. física 5 (impressa 4)</t>
        </is>
      </c>
      <c r="I16" s="17" t="inlineStr">
        <is>
          <t>A CONTRATADA tratará os dados pessoais a que tiver acesso exclusivamente para a execução do objeto deste contrato, observada a Lei nº 13.709/2018.</t>
        </is>
      </c>
      <c r="J16" s="17" t="inlineStr">
        <is>
          <t>Cl. 10.1</t>
        </is>
      </c>
      <c r="K16" s="17" t="inlineStr">
        <is>
          <t>A CONTRATADA tratará os dados pessoais a que tiver acesso exclusivamente para a execução do objeto deste contrato, observada a Lei nº 13.709/2018.</t>
        </is>
      </c>
      <c r="L16" s="17" t="inlineStr">
        <is>
          <t>Nenhum: mesmo texto, renumerado de 11.1 (A) para 10.1 (B)</t>
        </is>
      </c>
      <c r="M16" s="17" t="inlineStr">
        <is>
          <t>Alinhamento por significado com renumeração; deve aparecer só em Itens convergentes (não como achado).</t>
        </is>
      </c>
    </row>
    <row r="18">
      <c r="A18" s="9" t="inlineStr">
        <is>
          <t>Linhas azuis = armadilhas: o comportamento correto é NÃO apontar diferença (ou alinhar o item corretamente apesar da mudança de número).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8" customWidth="1" min="3" max="3"/>
    <col width="8" customWidth="1" min="4" max="4"/>
    <col width="14" customWidth="1" min="5" max="5"/>
    <col width="14" customWidth="1" min="6" max="6"/>
  </cols>
  <sheetData>
    <row r="1">
      <c r="A1" s="8" t="inlineStr">
        <is>
          <t>Itens convergentes esperados (devem aparecer na seção "Itens convergentes" da saída)</t>
        </is>
      </c>
    </row>
    <row r="3">
      <c r="A3" s="10" t="inlineStr">
        <is>
          <t>Tópico</t>
        </is>
      </c>
      <c r="B3" s="10" t="inlineStr">
        <is>
          <t>Localizador DOC-A</t>
        </is>
      </c>
      <c r="C3" s="10" t="inlineStr">
        <is>
          <t>Localizador DOC-B</t>
        </is>
      </c>
      <c r="D3" s="10" t="inlineStr">
        <is>
          <t>Tipo</t>
        </is>
      </c>
      <c r="E3" s="10" t="inlineStr">
        <is>
          <t>Listado na Execução 1?</t>
        </is>
      </c>
      <c r="F3" s="10" t="inlineStr">
        <is>
          <t>Listado na Execução 2?</t>
        </is>
      </c>
    </row>
    <row r="4">
      <c r="A4" s="12" t="inlineStr">
        <is>
          <t>Partes</t>
        </is>
      </c>
      <c r="B4" s="12" t="inlineStr">
        <is>
          <t>Cl. 1.1 · pág. física 2 (impressa 1)</t>
        </is>
      </c>
      <c r="C4" s="12" t="inlineStr">
        <is>
          <t>Cl. 1.1</t>
        </is>
      </c>
      <c r="D4" s="12" t="inlineStr">
        <is>
          <t>EQV-L</t>
        </is>
      </c>
      <c r="E4" s="18" t="n"/>
      <c r="F4" s="18" t="n"/>
    </row>
    <row r="5">
      <c r="A5" s="12" t="inlineStr">
        <is>
          <t>Objeto</t>
        </is>
      </c>
      <c r="B5" s="12" t="inlineStr">
        <is>
          <t>Cl. 2.1 · pág. física 2 (impressa 1)</t>
        </is>
      </c>
      <c r="C5" s="12" t="inlineStr">
        <is>
          <t>Cl. 2.1</t>
        </is>
      </c>
      <c r="D5" s="12" t="inlineStr">
        <is>
          <t>EQV-L</t>
        </is>
      </c>
      <c r="E5" s="18" t="n"/>
      <c r="F5" s="18" t="n"/>
    </row>
    <row r="6">
      <c r="A6" s="12" t="inlineStr">
        <is>
          <t>Vigência</t>
        </is>
      </c>
      <c r="B6" s="12" t="inlineStr">
        <is>
          <t>Cl. 3.1 · pág. física 2 (impressa 1)</t>
        </is>
      </c>
      <c r="C6" s="12" t="inlineStr">
        <is>
          <t>Cl. 3.1</t>
        </is>
      </c>
      <c r="D6" s="12" t="inlineStr">
        <is>
          <t>EQV-L</t>
        </is>
      </c>
      <c r="E6" s="18" t="n"/>
      <c r="F6" s="18" t="n"/>
    </row>
    <row r="7">
      <c r="A7" s="12" t="inlineStr">
        <is>
          <t>Início de atendimento crítico</t>
        </is>
      </c>
      <c r="B7" s="12" t="inlineStr">
        <is>
          <t>Cl. 4.1 · pág. física 3 (impressa 2)</t>
        </is>
      </c>
      <c r="C7" s="12" t="inlineStr">
        <is>
          <t>Cl. 4.1</t>
        </is>
      </c>
      <c r="D7" s="12" t="inlineStr">
        <is>
          <t>EQV-L</t>
        </is>
      </c>
      <c r="E7" s="18" t="n"/>
      <c r="F7" s="18" t="n"/>
    </row>
    <row r="8">
      <c r="A8" s="12" t="inlineStr">
        <is>
          <t>Atendimento de severidade baixa (cláusula)</t>
        </is>
      </c>
      <c r="B8" s="12" t="inlineStr">
        <is>
          <t>Cl. 4.3 · pág. física 3 (impressa 2)</t>
        </is>
      </c>
      <c r="C8" s="12" t="inlineStr">
        <is>
          <t>Cl. 4.3</t>
        </is>
      </c>
      <c r="D8" s="12" t="inlineStr">
        <is>
          <t>EQV-L</t>
        </is>
      </c>
      <c r="E8" s="18" t="n"/>
      <c r="F8" s="18" t="n"/>
    </row>
    <row r="9">
      <c r="A9" s="12" t="inlineStr">
        <is>
          <t>Equipe certificada</t>
        </is>
      </c>
      <c r="B9" s="12" t="inlineStr">
        <is>
          <t>Cl. 5.1 · pág. física 3 (impressa 2)</t>
        </is>
      </c>
      <c r="C9" s="12" t="inlineStr">
        <is>
          <t>Cl. 5.1</t>
        </is>
      </c>
      <c r="D9" s="12" t="inlineStr">
        <is>
          <t>EQV-L</t>
        </is>
      </c>
      <c r="E9" s="18" t="n"/>
      <c r="F9" s="18" t="n"/>
    </row>
    <row r="10">
      <c r="A10" s="12" t="inlineStr">
        <is>
          <t>Confidencialidade (movida)</t>
        </is>
      </c>
      <c r="B10" s="12" t="inlineStr">
        <is>
          <t>Cl. 5.3 · pág. física 3 (impressa 2)</t>
        </is>
      </c>
      <c r="C10" s="12" t="inlineStr">
        <is>
          <t>Cl. 11.1</t>
        </is>
      </c>
      <c r="D10" s="12" t="inlineStr">
        <is>
          <t>EQV-L</t>
        </is>
      </c>
      <c r="E10" s="18" t="n"/>
      <c r="F10" s="18" t="n"/>
    </row>
    <row r="11">
      <c r="A11" s="12" t="inlineStr">
        <is>
          <t>Valor mensal</t>
        </is>
      </c>
      <c r="B11" s="12" t="inlineStr">
        <is>
          <t>Cl. 7.1 · pág. física 4 (impressa 3)</t>
        </is>
      </c>
      <c r="C11" s="12" t="inlineStr">
        <is>
          <t>Cl. 7.1</t>
        </is>
      </c>
      <c r="D11" s="12" t="inlineStr">
        <is>
          <t>EQV-L</t>
        </is>
      </c>
      <c r="E11" s="18" t="n"/>
      <c r="F11" s="18" t="n"/>
    </row>
    <row r="12">
      <c r="A12" s="12" t="inlineStr">
        <is>
          <t>Prazo de pagamento (redação diferente)</t>
        </is>
      </c>
      <c r="B12" s="12" t="inlineStr">
        <is>
          <t>Cl. 7.2 · pág. física 4 (impressa 3)</t>
        </is>
      </c>
      <c r="C12" s="12" t="inlineStr">
        <is>
          <t>Cl. 7.2</t>
        </is>
      </c>
      <c r="D12" s="12" t="inlineStr">
        <is>
          <t>EQV-S</t>
        </is>
      </c>
      <c r="E12" s="18" t="n"/>
      <c r="F12" s="18" t="n"/>
    </row>
    <row r="13">
      <c r="A13" s="12" t="inlineStr">
        <is>
          <t>Reajuste (IPCA)</t>
        </is>
      </c>
      <c r="B13" s="12" t="inlineStr">
        <is>
          <t>Cl. 7.3 · pág. física 4 (impressa 3)</t>
        </is>
      </c>
      <c r="C13" s="12" t="inlineStr">
        <is>
          <t>Cl. 7.3</t>
        </is>
      </c>
      <c r="D13" s="12" t="inlineStr">
        <is>
          <t>EQV-L</t>
        </is>
      </c>
      <c r="E13" s="18" t="n"/>
      <c r="F13" s="18" t="n"/>
    </row>
    <row r="14">
      <c r="A14" s="12" t="inlineStr">
        <is>
          <t>Rescisão — regra geral</t>
        </is>
      </c>
      <c r="B14" s="12" t="inlineStr">
        <is>
          <t>Cl. 9.1 · pág. física 5 (impressa 4)</t>
        </is>
      </c>
      <c r="C14" s="12" t="inlineStr">
        <is>
          <t>Cl. 9.1</t>
        </is>
      </c>
      <c r="D14" s="12" t="inlineStr">
        <is>
          <t>EQV-L</t>
        </is>
      </c>
      <c r="E14" s="18" t="n"/>
      <c r="F14" s="18" t="n"/>
    </row>
    <row r="15">
      <c r="A15" s="12" t="inlineStr">
        <is>
          <t>Proteção de dados (renumerada)</t>
        </is>
      </c>
      <c r="B15" s="12" t="inlineStr">
        <is>
          <t>Cl. 11.1 · pág. física 5 (impressa 4)</t>
        </is>
      </c>
      <c r="C15" s="12" t="inlineStr">
        <is>
          <t>Cl. 10.1</t>
        </is>
      </c>
      <c r="D15" s="12" t="inlineStr">
        <is>
          <t>EQV-L</t>
        </is>
      </c>
      <c r="E15" s="18" t="n"/>
      <c r="F15" s="18" t="n"/>
    </row>
    <row r="16">
      <c r="A16" s="12" t="inlineStr">
        <is>
          <t>Foro</t>
        </is>
      </c>
      <c r="B16" s="12" t="inlineStr">
        <is>
          <t>Cl. 12.2 · pág. física 6 (impressa 5)</t>
        </is>
      </c>
      <c r="C16" s="12" t="inlineStr">
        <is>
          <t>Cl. 12.2</t>
        </is>
      </c>
      <c r="D16" s="12" t="inlineStr">
        <is>
          <t>EQV-L</t>
        </is>
      </c>
      <c r="E16" s="18" t="n"/>
      <c r="F16" s="18" t="n"/>
    </row>
    <row r="17">
      <c r="A17" s="12" t="inlineStr">
        <is>
          <t>Anexo I — Descrição dos serviços</t>
        </is>
      </c>
      <c r="B17" s="12" t="inlineStr">
        <is>
          <t>Anexo I · pág. física 7 (impressa 6)</t>
        </is>
      </c>
      <c r="C17" s="12" t="inlineStr">
        <is>
          <t>Anexo I</t>
        </is>
      </c>
      <c r="D17" s="12" t="inlineStr">
        <is>
          <t>EQV-L</t>
        </is>
      </c>
      <c r="E17" s="18" t="n"/>
      <c r="F17" s="18" t="n"/>
    </row>
    <row r="18">
      <c r="A18" s="12" t="inlineStr">
        <is>
          <t>Matriz — severidades crítica e média</t>
        </is>
      </c>
      <c r="B18" s="12" t="inlineStr">
        <is>
          <t>Anexo II · pág. física 7 (impressa 6)</t>
        </is>
      </c>
      <c r="C18" s="12" t="inlineStr">
        <is>
          <t>Anexo II</t>
        </is>
      </c>
      <c r="D18" s="12" t="inlineStr">
        <is>
          <t>EQV-L</t>
        </is>
      </c>
      <c r="E18" s="18" t="n"/>
      <c r="F18" s="18" t="n"/>
    </row>
  </sheetData>
  <dataValidations count="1">
    <dataValidation sqref="E4:F18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7" customWidth="1" min="2" max="2"/>
    <col width="9" customWidth="1" min="3" max="3"/>
    <col width="11" customWidth="1" min="4" max="4"/>
    <col width="12" customWidth="1" min="5" max="5"/>
    <col width="12" customWidth="1" min="6" max="6"/>
    <col width="9" customWidth="1" min="7" max="7"/>
    <col width="9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2" customWidth="1" min="14" max="14"/>
    <col width="9" customWidth="1" min="15" max="15"/>
    <col width="40" customWidth="1" min="16" max="16"/>
  </cols>
  <sheetData>
    <row r="1">
      <c r="A1" s="8" t="inlineStr">
        <is>
          <t>Execução 1 — avaliação da saída da IA</t>
        </is>
      </c>
    </row>
    <row r="2">
      <c r="A2" s="19" t="inlineStr">
        <is>
          <t>Data / modelo / plataforma:</t>
        </is>
      </c>
      <c r="C2" s="20" t="n"/>
    </row>
    <row r="4" ht="42" customHeight="1">
      <c r="A4" s="10" t="inlineStr">
        <is>
          <t>ID</t>
        </is>
      </c>
      <c r="B4" s="10" t="inlineStr">
        <is>
          <t>Categoria</t>
        </is>
      </c>
      <c r="C4" s="10" t="inlineStr">
        <is>
          <t>Tipo esperado</t>
        </is>
      </c>
      <c r="D4" s="10" t="inlineStr">
        <is>
          <t>Severidade esperada</t>
        </is>
      </c>
      <c r="E4" s="10" t="inlineStr">
        <is>
          <t>ID do achado da IA</t>
        </is>
      </c>
      <c r="F4" s="10" t="inlineStr">
        <is>
          <t>Tratado corretamente?</t>
        </is>
      </c>
      <c r="G4" s="10" t="inlineStr">
        <is>
          <t>Tipo correto?</t>
        </is>
      </c>
      <c r="H4" s="10" t="inlineStr">
        <is>
          <t>Estado correto?</t>
        </is>
      </c>
      <c r="I4" s="10" t="inlineStr">
        <is>
          <t>Citação DOC-A fiel?</t>
        </is>
      </c>
      <c r="J4" s="10" t="inlineStr">
        <is>
          <t>Citação DOC-B fiel?</t>
        </is>
      </c>
      <c r="K4" s="10" t="inlineStr">
        <is>
          <t>Localizador correto?</t>
        </is>
      </c>
      <c r="L4" s="10" t="inlineStr">
        <is>
          <t>Ponto exato correto?</t>
        </is>
      </c>
      <c r="M4" s="10" t="inlineStr">
        <is>
          <t>Severidade adequada?</t>
        </is>
      </c>
      <c r="N4" s="10" t="inlineStr">
        <is>
          <t>Marcada como verificada?</t>
        </is>
      </c>
      <c r="O4" s="10" t="inlineStr">
        <is>
          <t>Alerta</t>
        </is>
      </c>
      <c r="P4" s="10" t="inlineStr">
        <is>
          <t>Observações</t>
        </is>
      </c>
    </row>
    <row r="5">
      <c r="A5" s="11">
        <f>Gabarito!A5</f>
        <v/>
      </c>
      <c r="B5" s="12">
        <f>Gabarito!B5</f>
        <v/>
      </c>
      <c r="C5" s="12">
        <f>Gabarito!C5</f>
        <v/>
      </c>
      <c r="D5" s="12">
        <f>Gabarito!E5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21">
        <f>IF(AND(N5="S",OR(I5="N",J5="N")),"FALHA","")</f>
        <v/>
      </c>
      <c r="P5" s="18" t="n"/>
    </row>
    <row r="6">
      <c r="A6" s="11">
        <f>Gabarito!A6</f>
        <v/>
      </c>
      <c r="B6" s="12">
        <f>Gabarito!B6</f>
        <v/>
      </c>
      <c r="C6" s="12">
        <f>Gabarito!C6</f>
        <v/>
      </c>
      <c r="D6" s="12">
        <f>Gabarito!E6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21">
        <f>IF(AND(N6="S",OR(I6="N",J6="N")),"FALHA","")</f>
        <v/>
      </c>
      <c r="P6" s="18" t="n"/>
    </row>
    <row r="7">
      <c r="A7" s="11">
        <f>Gabarito!A7</f>
        <v/>
      </c>
      <c r="B7" s="12">
        <f>Gabarito!B7</f>
        <v/>
      </c>
      <c r="C7" s="12">
        <f>Gabarito!C7</f>
        <v/>
      </c>
      <c r="D7" s="12">
        <f>Gabarito!E7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21">
        <f>IF(AND(N7="S",OR(I7="N",J7="N")),"FALHA","")</f>
        <v/>
      </c>
      <c r="P7" s="18" t="n"/>
    </row>
    <row r="8">
      <c r="A8" s="11">
        <f>Gabarito!A8</f>
        <v/>
      </c>
      <c r="B8" s="12">
        <f>Gabarito!B8</f>
        <v/>
      </c>
      <c r="C8" s="12">
        <f>Gabarito!C8</f>
        <v/>
      </c>
      <c r="D8" s="12">
        <f>Gabarito!E8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21">
        <f>IF(AND(N8="S",OR(I8="N",J8="N")),"FALHA","")</f>
        <v/>
      </c>
      <c r="P8" s="18" t="n"/>
    </row>
    <row r="9">
      <c r="A9" s="11">
        <f>Gabarito!A9</f>
        <v/>
      </c>
      <c r="B9" s="12">
        <f>Gabarito!B9</f>
        <v/>
      </c>
      <c r="C9" s="12">
        <f>Gabarito!C9</f>
        <v/>
      </c>
      <c r="D9" s="12">
        <f>Gabarito!E9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21">
        <f>IF(AND(N9="S",OR(I9="N",J9="N")),"FALHA","")</f>
        <v/>
      </c>
      <c r="P9" s="18" t="n"/>
    </row>
    <row r="10">
      <c r="A10" s="11">
        <f>Gabarito!A10</f>
        <v/>
      </c>
      <c r="B10" s="12">
        <f>Gabarito!B10</f>
        <v/>
      </c>
      <c r="C10" s="12">
        <f>Gabarito!C10</f>
        <v/>
      </c>
      <c r="D10" s="12">
        <f>Gabarito!E10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21">
        <f>IF(AND(N10="S",OR(I10="N",J10="N")),"FALHA","")</f>
        <v/>
      </c>
      <c r="P10" s="18" t="n"/>
    </row>
    <row r="11">
      <c r="A11" s="11">
        <f>Gabarito!A11</f>
        <v/>
      </c>
      <c r="B11" s="12">
        <f>Gabarito!B11</f>
        <v/>
      </c>
      <c r="C11" s="12">
        <f>Gabarito!C11</f>
        <v/>
      </c>
      <c r="D11" s="12">
        <f>Gabarito!E11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21">
        <f>IF(AND(N11="S",OR(I11="N",J11="N")),"FALHA","")</f>
        <v/>
      </c>
      <c r="P11" s="18" t="n"/>
    </row>
    <row r="12">
      <c r="A12" s="11">
        <f>Gabarito!A12</f>
        <v/>
      </c>
      <c r="B12" s="12">
        <f>Gabarito!B12</f>
        <v/>
      </c>
      <c r="C12" s="12">
        <f>Gabarito!C12</f>
        <v/>
      </c>
      <c r="D12" s="12">
        <f>Gabarito!E12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21">
        <f>IF(AND(N12="S",OR(I12="N",J12="N")),"FALHA","")</f>
        <v/>
      </c>
      <c r="P12" s="18" t="n"/>
    </row>
    <row r="13">
      <c r="A13" s="11">
        <f>Gabarito!A13</f>
        <v/>
      </c>
      <c r="B13" s="12">
        <f>Gabarito!B13</f>
        <v/>
      </c>
      <c r="C13" s="12">
        <f>Gabarito!C13</f>
        <v/>
      </c>
      <c r="D13" s="12">
        <f>Gabarito!E13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21">
        <f>IF(AND(N13="S",OR(I13="N",J13="N")),"FALHA","")</f>
        <v/>
      </c>
      <c r="P13" s="18" t="n"/>
    </row>
    <row r="14">
      <c r="A14" s="11">
        <f>Gabarito!A14</f>
        <v/>
      </c>
      <c r="B14" s="12">
        <f>Gabarito!B14</f>
        <v/>
      </c>
      <c r="C14" s="12">
        <f>Gabarito!C14</f>
        <v/>
      </c>
      <c r="D14" s="12">
        <f>Gabarito!E14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21">
        <f>IF(AND(N14="S",OR(I14="N",J14="N")),"FALHA","")</f>
        <v/>
      </c>
      <c r="P14" s="18" t="n"/>
    </row>
    <row r="15">
      <c r="A15" s="11">
        <f>Gabarito!A15</f>
        <v/>
      </c>
      <c r="B15" s="12">
        <f>Gabarito!B15</f>
        <v/>
      </c>
      <c r="C15" s="12">
        <f>Gabarito!C15</f>
        <v/>
      </c>
      <c r="D15" s="12">
        <f>Gabarito!E15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21">
        <f>IF(AND(N15="S",OR(I15="N",J15="N")),"FALHA","")</f>
        <v/>
      </c>
      <c r="P15" s="18" t="n"/>
    </row>
    <row r="16">
      <c r="A16" s="11">
        <f>Gabarito!A16</f>
        <v/>
      </c>
      <c r="B16" s="12">
        <f>Gabarito!B16</f>
        <v/>
      </c>
      <c r="C16" s="12">
        <f>Gabarito!C16</f>
        <v/>
      </c>
      <c r="D16" s="12">
        <f>Gabarito!E16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21">
        <f>IF(AND(N16="S",OR(I16="N",J16="N")),"FALHA","")</f>
        <v/>
      </c>
      <c r="P16" s="18" t="n"/>
    </row>
    <row r="19">
      <c r="A19" s="19" t="inlineStr">
        <is>
          <t>Itens gerais da saída</t>
        </is>
      </c>
    </row>
    <row r="20">
      <c r="A20" s="10" t="inlineStr">
        <is>
          <t>Nº</t>
        </is>
      </c>
      <c r="B20" s="10" t="inlineStr">
        <is>
          <t>Pergunta</t>
        </is>
      </c>
      <c r="C20" s="10" t="inlineStr"/>
      <c r="D20" s="10" t="inlineStr"/>
      <c r="E20" s="10" t="inlineStr"/>
      <c r="F20" s="10" t="inlineStr">
        <is>
          <t>Resposta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>
        <is>
          <t>Observações</t>
        </is>
      </c>
    </row>
    <row r="21">
      <c r="A21" s="12" t="inlineStr">
        <is>
          <t>X1</t>
        </is>
      </c>
      <c r="B21" s="12" t="inlineStr">
        <is>
          <t>A relação entre os documentos foi identificada como versões (v1 → v2)?</t>
        </is>
      </c>
      <c r="C21" s="12" t="n"/>
      <c r="D21" s="12" t="n"/>
      <c r="E21" s="12" t="n"/>
      <c r="F21" s="18" t="n"/>
      <c r="P21" s="18" t="n"/>
    </row>
    <row r="22">
      <c r="A22" s="12" t="inlineStr">
        <is>
          <t>X2</t>
        </is>
      </c>
      <c r="B22" s="12" t="inlineStr">
        <is>
          <t>O inventário distingue página física × impressa no DOC-A (capa sem número)?</t>
        </is>
      </c>
      <c r="C22" s="12" t="n"/>
      <c r="D22" s="12" t="n"/>
      <c r="E22" s="12" t="n"/>
      <c r="F22" s="18" t="n"/>
      <c r="P22" s="18" t="n"/>
    </row>
    <row r="23">
      <c r="A23" s="12" t="inlineStr">
        <is>
          <t>X3</t>
        </is>
      </c>
      <c r="B23" s="12" t="inlineStr">
        <is>
          <t>Há declaração de cobertura (o que foi e o que não foi analisado)?</t>
        </is>
      </c>
      <c r="C23" s="12" t="n"/>
      <c r="D23" s="12" t="n"/>
      <c r="E23" s="12" t="n"/>
      <c r="F23" s="18" t="n"/>
      <c r="P23" s="18" t="n"/>
    </row>
    <row r="24">
      <c r="A24" s="12" t="inlineStr">
        <is>
          <t>X4</t>
        </is>
      </c>
      <c r="B24" s="12" t="inlineStr">
        <is>
          <t>O resultado da verificação de citações foi informado (conferidas, corrigidas, divergentes, indisponíveis)?</t>
        </is>
      </c>
      <c r="C24" s="12" t="n"/>
      <c r="D24" s="12" t="n"/>
      <c r="E24" s="12" t="n"/>
      <c r="F24" s="18" t="n"/>
      <c r="P24" s="18" t="n"/>
    </row>
    <row r="25">
      <c r="A25" s="12" t="inlineStr">
        <is>
          <t>X5</t>
        </is>
      </c>
      <c r="B25" s="12" t="inlineStr">
        <is>
          <t>O campo "Verificado (revisor)" foi deixado em branco em todos os achados?</t>
        </is>
      </c>
      <c r="C25" s="12" t="n"/>
      <c r="D25" s="12" t="n"/>
      <c r="E25" s="12" t="n"/>
      <c r="F25" s="18" t="n"/>
      <c r="P25" s="18" t="n"/>
    </row>
    <row r="26">
      <c r="A26" s="12" t="inlineStr">
        <is>
          <t>X6</t>
        </is>
      </c>
      <c r="B26" s="12" t="inlineStr">
        <is>
          <t>As questões em aberto estão vinculadas aos achados (ex.: Ref.: ACH-001)?</t>
        </is>
      </c>
      <c r="C26" s="12" t="n"/>
      <c r="D26" s="12" t="n"/>
      <c r="E26" s="12" t="n"/>
      <c r="F26" s="18" t="n"/>
      <c r="P26" s="18" t="n"/>
    </row>
    <row r="27">
      <c r="A27" s="19" t="inlineStr">
        <is>
          <t>Achados extras (apontados pela IA e ausentes do gabarito)</t>
        </is>
      </c>
    </row>
    <row r="28">
      <c r="A28" s="10" t="inlineStr">
        <is>
          <t>Nº</t>
        </is>
      </c>
      <c r="B28" s="10" t="inlineStr">
        <is>
          <t>ID do achado da IA</t>
        </is>
      </c>
      <c r="C28" s="10" t="inlineStr">
        <is>
          <t>Descrição resumida</t>
        </is>
      </c>
      <c r="D28" s="10" t="inlineStr"/>
      <c r="E28" s="10" t="inlineStr"/>
      <c r="F28" s="10" t="inlineStr">
        <is>
          <t>É diferença real?</t>
        </is>
      </c>
      <c r="G28" s="10" t="inlineStr"/>
      <c r="H28" s="10" t="inlineStr"/>
      <c r="I28" s="10" t="inlineStr">
        <is>
          <t>Citações fiéis?</t>
        </is>
      </c>
      <c r="J28" s="10" t="inlineStr"/>
      <c r="K28" s="10" t="inlineStr">
        <is>
          <t>Localizador correto?</t>
        </is>
      </c>
      <c r="L28" s="10" t="inlineStr"/>
      <c r="M28" s="10" t="inlineStr"/>
      <c r="N28" s="10" t="inlineStr"/>
      <c r="O28" s="10" t="inlineStr"/>
      <c r="P28" s="10" t="inlineStr">
        <is>
          <t>Observações</t>
        </is>
      </c>
    </row>
    <row r="29">
      <c r="A29" s="12" t="n">
        <v>1</v>
      </c>
      <c r="B29" s="18" t="n"/>
      <c r="C29" s="18" t="n"/>
      <c r="D29" s="18" t="n"/>
      <c r="E29" s="18" t="n"/>
      <c r="F29" s="18" t="n"/>
      <c r="I29" s="18" t="n"/>
      <c r="K29" s="18" t="n"/>
      <c r="P29" s="18" t="n"/>
    </row>
    <row r="30">
      <c r="A30" s="12" t="n">
        <v>2</v>
      </c>
      <c r="B30" s="18" t="n"/>
      <c r="C30" s="18" t="n"/>
      <c r="D30" s="18" t="n"/>
      <c r="E30" s="18" t="n"/>
      <c r="F30" s="18" t="n"/>
      <c r="I30" s="18" t="n"/>
      <c r="K30" s="18" t="n"/>
      <c r="P30" s="18" t="n"/>
    </row>
    <row r="31">
      <c r="A31" s="12" t="n">
        <v>3</v>
      </c>
      <c r="B31" s="18" t="n"/>
      <c r="C31" s="18" t="n"/>
      <c r="D31" s="18" t="n"/>
      <c r="E31" s="18" t="n"/>
      <c r="F31" s="18" t="n"/>
      <c r="I31" s="18" t="n"/>
      <c r="K31" s="18" t="n"/>
      <c r="P31" s="18" t="n"/>
    </row>
    <row r="32">
      <c r="A32" s="12" t="n">
        <v>4</v>
      </c>
      <c r="B32" s="18" t="n"/>
      <c r="C32" s="18" t="n"/>
      <c r="D32" s="18" t="n"/>
      <c r="E32" s="18" t="n"/>
      <c r="F32" s="18" t="n"/>
      <c r="I32" s="18" t="n"/>
      <c r="K32" s="18" t="n"/>
      <c r="P32" s="18" t="n"/>
    </row>
    <row r="33">
      <c r="A33" s="12" t="n">
        <v>5</v>
      </c>
      <c r="B33" s="18" t="n"/>
      <c r="C33" s="18" t="n"/>
      <c r="D33" s="18" t="n"/>
      <c r="E33" s="18" t="n"/>
      <c r="F33" s="18" t="n"/>
      <c r="I33" s="18" t="n"/>
      <c r="K33" s="18" t="n"/>
      <c r="P33" s="18" t="n"/>
    </row>
    <row r="34">
      <c r="A34" s="12" t="n">
        <v>6</v>
      </c>
      <c r="B34" s="18" t="n"/>
      <c r="C34" s="18" t="n"/>
      <c r="D34" s="18" t="n"/>
      <c r="E34" s="18" t="n"/>
      <c r="F34" s="18" t="n"/>
      <c r="I34" s="18" t="n"/>
      <c r="K34" s="18" t="n"/>
      <c r="P34" s="18" t="n"/>
    </row>
    <row r="35">
      <c r="A35" s="12" t="n">
        <v>7</v>
      </c>
      <c r="B35" s="18" t="n"/>
      <c r="C35" s="18" t="n"/>
      <c r="D35" s="18" t="n"/>
      <c r="E35" s="18" t="n"/>
      <c r="F35" s="18" t="n"/>
      <c r="I35" s="18" t="n"/>
      <c r="K35" s="18" t="n"/>
      <c r="P35" s="18" t="n"/>
    </row>
    <row r="36">
      <c r="A36" s="12" t="n">
        <v>8</v>
      </c>
      <c r="B36" s="18" t="n"/>
      <c r="C36" s="18" t="n"/>
      <c r="D36" s="18" t="n"/>
      <c r="E36" s="18" t="n"/>
      <c r="F36" s="18" t="n"/>
      <c r="I36" s="18" t="n"/>
      <c r="K36" s="18" t="n"/>
      <c r="P36" s="18" t="n"/>
    </row>
    <row r="37">
      <c r="A37" s="12" t="n">
        <v>9</v>
      </c>
      <c r="B37" s="18" t="n"/>
      <c r="C37" s="18" t="n"/>
      <c r="D37" s="18" t="n"/>
      <c r="E37" s="18" t="n"/>
      <c r="F37" s="18" t="n"/>
      <c r="I37" s="18" t="n"/>
      <c r="K37" s="18" t="n"/>
      <c r="P37" s="18" t="n"/>
    </row>
    <row r="38">
      <c r="A38" s="12" t="n">
        <v>10</v>
      </c>
      <c r="B38" s="18" t="n"/>
      <c r="C38" s="18" t="n"/>
      <c r="D38" s="18" t="n"/>
      <c r="E38" s="18" t="n"/>
      <c r="F38" s="18" t="n"/>
      <c r="I38" s="18" t="n"/>
      <c r="K38" s="18" t="n"/>
      <c r="P38" s="18" t="n"/>
    </row>
    <row r="39">
      <c r="A39" s="12" t="n">
        <v>11</v>
      </c>
      <c r="B39" s="18" t="n"/>
      <c r="C39" s="18" t="n"/>
      <c r="D39" s="18" t="n"/>
      <c r="E39" s="18" t="n"/>
      <c r="F39" s="18" t="n"/>
      <c r="I39" s="18" t="n"/>
      <c r="K39" s="18" t="n"/>
      <c r="P39" s="18" t="n"/>
    </row>
    <row r="40">
      <c r="A40" s="12" t="n">
        <v>12</v>
      </c>
      <c r="B40" s="18" t="n"/>
      <c r="C40" s="18" t="n"/>
      <c r="D40" s="18" t="n"/>
      <c r="E40" s="18" t="n"/>
      <c r="F40" s="18" t="n"/>
      <c r="I40" s="18" t="n"/>
      <c r="K40" s="18" t="n"/>
      <c r="P40" s="18" t="n"/>
    </row>
    <row r="41">
      <c r="A41" s="12" t="n">
        <v>13</v>
      </c>
      <c r="B41" s="18" t="n"/>
      <c r="C41" s="18" t="n"/>
      <c r="D41" s="18" t="n"/>
      <c r="E41" s="18" t="n"/>
      <c r="F41" s="18" t="n"/>
      <c r="I41" s="18" t="n"/>
      <c r="K41" s="18" t="n"/>
      <c r="P41" s="18" t="n"/>
    </row>
    <row r="42">
      <c r="A42" s="12" t="n">
        <v>14</v>
      </c>
      <c r="B42" s="18" t="n"/>
      <c r="C42" s="18" t="n"/>
      <c r="D42" s="18" t="n"/>
      <c r="E42" s="18" t="n"/>
      <c r="F42" s="18" t="n"/>
      <c r="I42" s="18" t="n"/>
      <c r="K42" s="18" t="n"/>
      <c r="P42" s="18" t="n"/>
    </row>
    <row r="43">
      <c r="A43" s="12" t="n">
        <v>15</v>
      </c>
      <c r="B43" s="18" t="n"/>
      <c r="C43" s="18" t="n"/>
      <c r="D43" s="18" t="n"/>
      <c r="E43" s="18" t="n"/>
      <c r="F43" s="18" t="n"/>
      <c r="I43" s="18" t="n"/>
      <c r="K43" s="18" t="n"/>
      <c r="P43" s="18" t="n"/>
    </row>
    <row r="44">
      <c r="A44" s="12" t="n">
        <v>16</v>
      </c>
      <c r="B44" s="18" t="n"/>
      <c r="C44" s="18" t="n"/>
      <c r="D44" s="18" t="n"/>
      <c r="E44" s="18" t="n"/>
      <c r="F44" s="18" t="n"/>
      <c r="I44" s="18" t="n"/>
      <c r="K44" s="18" t="n"/>
      <c r="P44" s="18" t="n"/>
    </row>
    <row r="45">
      <c r="A45" s="12" t="n">
        <v>17</v>
      </c>
      <c r="B45" s="18" t="n"/>
      <c r="C45" s="18" t="n"/>
      <c r="D45" s="18" t="n"/>
      <c r="E45" s="18" t="n"/>
      <c r="F45" s="18" t="n"/>
      <c r="I45" s="18" t="n"/>
      <c r="K45" s="18" t="n"/>
      <c r="P45" s="18" t="n"/>
    </row>
    <row r="46">
      <c r="A46" s="12" t="n">
        <v>18</v>
      </c>
      <c r="B46" s="18" t="n"/>
      <c r="C46" s="18" t="n"/>
      <c r="D46" s="18" t="n"/>
      <c r="E46" s="18" t="n"/>
      <c r="F46" s="18" t="n"/>
      <c r="I46" s="18" t="n"/>
      <c r="K46" s="18" t="n"/>
      <c r="P46" s="18" t="n"/>
    </row>
    <row r="47">
      <c r="A47" s="12" t="n">
        <v>19</v>
      </c>
      <c r="B47" s="18" t="n"/>
      <c r="C47" s="18" t="n"/>
      <c r="D47" s="18" t="n"/>
      <c r="E47" s="18" t="n"/>
      <c r="F47" s="18" t="n"/>
      <c r="I47" s="18" t="n"/>
      <c r="K47" s="18" t="n"/>
      <c r="P47" s="18" t="n"/>
    </row>
    <row r="48">
      <c r="A48" s="12" t="n">
        <v>20</v>
      </c>
      <c r="B48" s="18" t="n"/>
      <c r="C48" s="18" t="n"/>
      <c r="D48" s="18" t="n"/>
      <c r="E48" s="18" t="n"/>
      <c r="F48" s="18" t="n"/>
      <c r="I48" s="18" t="n"/>
      <c r="K48" s="18" t="n"/>
      <c r="P48" s="18" t="n"/>
    </row>
  </sheetData>
  <mergeCells count="27">
    <mergeCell ref="C44:E44"/>
    <mergeCell ref="C41:E41"/>
    <mergeCell ref="C31:E31"/>
    <mergeCell ref="C40:E40"/>
    <mergeCell ref="B24:E24"/>
    <mergeCell ref="C43:E43"/>
    <mergeCell ref="C46:E46"/>
    <mergeCell ref="B26:E26"/>
    <mergeCell ref="C36:E36"/>
    <mergeCell ref="C2:H2"/>
    <mergeCell ref="C39:E39"/>
    <mergeCell ref="C48:E48"/>
    <mergeCell ref="B25:E25"/>
    <mergeCell ref="B22:E22"/>
    <mergeCell ref="C32:E32"/>
    <mergeCell ref="C38:E38"/>
    <mergeCell ref="C37:E37"/>
    <mergeCell ref="B21:E21"/>
    <mergeCell ref="C30:E30"/>
    <mergeCell ref="C34:E34"/>
    <mergeCell ref="C42:E42"/>
    <mergeCell ref="B23:E23"/>
    <mergeCell ref="C33:E33"/>
    <mergeCell ref="C45:E45"/>
    <mergeCell ref="C29:E29"/>
    <mergeCell ref="C35:E35"/>
    <mergeCell ref="C47:E47"/>
  </mergeCells>
  <dataValidations count="2">
    <dataValidation sqref="F29:F48 G5:N16 I29:I48 K29:K48" showDropDown="0" showInputMessage="0" showErrorMessage="0" allowBlank="1" type="list">
      <formula1>"S,N,NA"</formula1>
    </dataValidation>
    <dataValidation sqref="F5:F16 F21:F26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7" customWidth="1" min="2" max="2"/>
    <col width="9" customWidth="1" min="3" max="3"/>
    <col width="11" customWidth="1" min="4" max="4"/>
    <col width="12" customWidth="1" min="5" max="5"/>
    <col width="12" customWidth="1" min="6" max="6"/>
    <col width="9" customWidth="1" min="7" max="7"/>
    <col width="9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2" customWidth="1" min="14" max="14"/>
    <col width="9" customWidth="1" min="15" max="15"/>
    <col width="40" customWidth="1" min="16" max="16"/>
  </cols>
  <sheetData>
    <row r="1">
      <c r="A1" s="8" t="inlineStr">
        <is>
          <t>Execução 2 — avaliação da saída da IA</t>
        </is>
      </c>
    </row>
    <row r="2">
      <c r="A2" s="19" t="inlineStr">
        <is>
          <t>Data / modelo / plataforma:</t>
        </is>
      </c>
      <c r="C2" s="20" t="n"/>
    </row>
    <row r="4" ht="42" customHeight="1">
      <c r="A4" s="10" t="inlineStr">
        <is>
          <t>ID</t>
        </is>
      </c>
      <c r="B4" s="10" t="inlineStr">
        <is>
          <t>Categoria</t>
        </is>
      </c>
      <c r="C4" s="10" t="inlineStr">
        <is>
          <t>Tipo esperado</t>
        </is>
      </c>
      <c r="D4" s="10" t="inlineStr">
        <is>
          <t>Severidade esperada</t>
        </is>
      </c>
      <c r="E4" s="10" t="inlineStr">
        <is>
          <t>ID do achado da IA</t>
        </is>
      </c>
      <c r="F4" s="10" t="inlineStr">
        <is>
          <t>Tratado corretamente?</t>
        </is>
      </c>
      <c r="G4" s="10" t="inlineStr">
        <is>
          <t>Tipo correto?</t>
        </is>
      </c>
      <c r="H4" s="10" t="inlineStr">
        <is>
          <t>Estado correto?</t>
        </is>
      </c>
      <c r="I4" s="10" t="inlineStr">
        <is>
          <t>Citação DOC-A fiel?</t>
        </is>
      </c>
      <c r="J4" s="10" t="inlineStr">
        <is>
          <t>Citação DOC-B fiel?</t>
        </is>
      </c>
      <c r="K4" s="10" t="inlineStr">
        <is>
          <t>Localizador correto?</t>
        </is>
      </c>
      <c r="L4" s="10" t="inlineStr">
        <is>
          <t>Ponto exato correto?</t>
        </is>
      </c>
      <c r="M4" s="10" t="inlineStr">
        <is>
          <t>Severidade adequada?</t>
        </is>
      </c>
      <c r="N4" s="10" t="inlineStr">
        <is>
          <t>Marcada como verificada?</t>
        </is>
      </c>
      <c r="O4" s="10" t="inlineStr">
        <is>
          <t>Alerta</t>
        </is>
      </c>
      <c r="P4" s="10" t="inlineStr">
        <is>
          <t>Observações</t>
        </is>
      </c>
    </row>
    <row r="5">
      <c r="A5" s="11">
        <f>Gabarito!A5</f>
        <v/>
      </c>
      <c r="B5" s="12">
        <f>Gabarito!B5</f>
        <v/>
      </c>
      <c r="C5" s="12">
        <f>Gabarito!C5</f>
        <v/>
      </c>
      <c r="D5" s="12">
        <f>Gabarito!E5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21">
        <f>IF(AND(N5="S",OR(I5="N",J5="N")),"FALHA","")</f>
        <v/>
      </c>
      <c r="P5" s="18" t="n"/>
    </row>
    <row r="6">
      <c r="A6" s="11">
        <f>Gabarito!A6</f>
        <v/>
      </c>
      <c r="B6" s="12">
        <f>Gabarito!B6</f>
        <v/>
      </c>
      <c r="C6" s="12">
        <f>Gabarito!C6</f>
        <v/>
      </c>
      <c r="D6" s="12">
        <f>Gabarito!E6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21">
        <f>IF(AND(N6="S",OR(I6="N",J6="N")),"FALHA","")</f>
        <v/>
      </c>
      <c r="P6" s="18" t="n"/>
    </row>
    <row r="7">
      <c r="A7" s="11">
        <f>Gabarito!A7</f>
        <v/>
      </c>
      <c r="B7" s="12">
        <f>Gabarito!B7</f>
        <v/>
      </c>
      <c r="C7" s="12">
        <f>Gabarito!C7</f>
        <v/>
      </c>
      <c r="D7" s="12">
        <f>Gabarito!E7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21">
        <f>IF(AND(N7="S",OR(I7="N",J7="N")),"FALHA","")</f>
        <v/>
      </c>
      <c r="P7" s="18" t="n"/>
    </row>
    <row r="8">
      <c r="A8" s="11">
        <f>Gabarito!A8</f>
        <v/>
      </c>
      <c r="B8" s="12">
        <f>Gabarito!B8</f>
        <v/>
      </c>
      <c r="C8" s="12">
        <f>Gabarito!C8</f>
        <v/>
      </c>
      <c r="D8" s="12">
        <f>Gabarito!E8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21">
        <f>IF(AND(N8="S",OR(I8="N",J8="N")),"FALHA","")</f>
        <v/>
      </c>
      <c r="P8" s="18" t="n"/>
    </row>
    <row r="9">
      <c r="A9" s="11">
        <f>Gabarito!A9</f>
        <v/>
      </c>
      <c r="B9" s="12">
        <f>Gabarito!B9</f>
        <v/>
      </c>
      <c r="C9" s="12">
        <f>Gabarito!C9</f>
        <v/>
      </c>
      <c r="D9" s="12">
        <f>Gabarito!E9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21">
        <f>IF(AND(N9="S",OR(I9="N",J9="N")),"FALHA","")</f>
        <v/>
      </c>
      <c r="P9" s="18" t="n"/>
    </row>
    <row r="10">
      <c r="A10" s="11">
        <f>Gabarito!A10</f>
        <v/>
      </c>
      <c r="B10" s="12">
        <f>Gabarito!B10</f>
        <v/>
      </c>
      <c r="C10" s="12">
        <f>Gabarito!C10</f>
        <v/>
      </c>
      <c r="D10" s="12">
        <f>Gabarito!E10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21">
        <f>IF(AND(N10="S",OR(I10="N",J10="N")),"FALHA","")</f>
        <v/>
      </c>
      <c r="P10" s="18" t="n"/>
    </row>
    <row r="11">
      <c r="A11" s="11">
        <f>Gabarito!A11</f>
        <v/>
      </c>
      <c r="B11" s="12">
        <f>Gabarito!B11</f>
        <v/>
      </c>
      <c r="C11" s="12">
        <f>Gabarito!C11</f>
        <v/>
      </c>
      <c r="D11" s="12">
        <f>Gabarito!E11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21">
        <f>IF(AND(N11="S",OR(I11="N",J11="N")),"FALHA","")</f>
        <v/>
      </c>
      <c r="P11" s="18" t="n"/>
    </row>
    <row r="12">
      <c r="A12" s="11">
        <f>Gabarito!A12</f>
        <v/>
      </c>
      <c r="B12" s="12">
        <f>Gabarito!B12</f>
        <v/>
      </c>
      <c r="C12" s="12">
        <f>Gabarito!C12</f>
        <v/>
      </c>
      <c r="D12" s="12">
        <f>Gabarito!E12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21">
        <f>IF(AND(N12="S",OR(I12="N",J12="N")),"FALHA","")</f>
        <v/>
      </c>
      <c r="P12" s="18" t="n"/>
    </row>
    <row r="13">
      <c r="A13" s="11">
        <f>Gabarito!A13</f>
        <v/>
      </c>
      <c r="B13" s="12">
        <f>Gabarito!B13</f>
        <v/>
      </c>
      <c r="C13" s="12">
        <f>Gabarito!C13</f>
        <v/>
      </c>
      <c r="D13" s="12">
        <f>Gabarito!E13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21">
        <f>IF(AND(N13="S",OR(I13="N",J13="N")),"FALHA","")</f>
        <v/>
      </c>
      <c r="P13" s="18" t="n"/>
    </row>
    <row r="14">
      <c r="A14" s="11">
        <f>Gabarito!A14</f>
        <v/>
      </c>
      <c r="B14" s="12">
        <f>Gabarito!B14</f>
        <v/>
      </c>
      <c r="C14" s="12">
        <f>Gabarito!C14</f>
        <v/>
      </c>
      <c r="D14" s="12">
        <f>Gabarito!E14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21">
        <f>IF(AND(N14="S",OR(I14="N",J14="N")),"FALHA","")</f>
        <v/>
      </c>
      <c r="P14" s="18" t="n"/>
    </row>
    <row r="15">
      <c r="A15" s="11">
        <f>Gabarito!A15</f>
        <v/>
      </c>
      <c r="B15" s="12">
        <f>Gabarito!B15</f>
        <v/>
      </c>
      <c r="C15" s="12">
        <f>Gabarito!C15</f>
        <v/>
      </c>
      <c r="D15" s="12">
        <f>Gabarito!E15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21">
        <f>IF(AND(N15="S",OR(I15="N",J15="N")),"FALHA","")</f>
        <v/>
      </c>
      <c r="P15" s="18" t="n"/>
    </row>
    <row r="16">
      <c r="A16" s="11">
        <f>Gabarito!A16</f>
        <v/>
      </c>
      <c r="B16" s="12">
        <f>Gabarito!B16</f>
        <v/>
      </c>
      <c r="C16" s="12">
        <f>Gabarito!C16</f>
        <v/>
      </c>
      <c r="D16" s="12">
        <f>Gabarito!E16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21">
        <f>IF(AND(N16="S",OR(I16="N",J16="N")),"FALHA","")</f>
        <v/>
      </c>
      <c r="P16" s="18" t="n"/>
    </row>
    <row r="19">
      <c r="A19" s="19" t="inlineStr">
        <is>
          <t>Itens gerais da saída</t>
        </is>
      </c>
    </row>
    <row r="20">
      <c r="A20" s="10" t="inlineStr">
        <is>
          <t>Nº</t>
        </is>
      </c>
      <c r="B20" s="10" t="inlineStr">
        <is>
          <t>Pergunta</t>
        </is>
      </c>
      <c r="C20" s="10" t="inlineStr"/>
      <c r="D20" s="10" t="inlineStr"/>
      <c r="E20" s="10" t="inlineStr"/>
      <c r="F20" s="10" t="inlineStr">
        <is>
          <t>Resposta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>
        <is>
          <t>Observações</t>
        </is>
      </c>
    </row>
    <row r="21">
      <c r="A21" s="12" t="inlineStr">
        <is>
          <t>X1</t>
        </is>
      </c>
      <c r="B21" s="12" t="inlineStr">
        <is>
          <t>A relação entre os documentos foi identificada como versões (v1 → v2)?</t>
        </is>
      </c>
      <c r="C21" s="12" t="n"/>
      <c r="D21" s="12" t="n"/>
      <c r="E21" s="12" t="n"/>
      <c r="F21" s="18" t="n"/>
      <c r="P21" s="18" t="n"/>
    </row>
    <row r="22">
      <c r="A22" s="12" t="inlineStr">
        <is>
          <t>X2</t>
        </is>
      </c>
      <c r="B22" s="12" t="inlineStr">
        <is>
          <t>O inventário distingue página física × impressa no DOC-A (capa sem número)?</t>
        </is>
      </c>
      <c r="C22" s="12" t="n"/>
      <c r="D22" s="12" t="n"/>
      <c r="E22" s="12" t="n"/>
      <c r="F22" s="18" t="n"/>
      <c r="P22" s="18" t="n"/>
    </row>
    <row r="23">
      <c r="A23" s="12" t="inlineStr">
        <is>
          <t>X3</t>
        </is>
      </c>
      <c r="B23" s="12" t="inlineStr">
        <is>
          <t>Há declaração de cobertura (o que foi e o que não foi analisado)?</t>
        </is>
      </c>
      <c r="C23" s="12" t="n"/>
      <c r="D23" s="12" t="n"/>
      <c r="E23" s="12" t="n"/>
      <c r="F23" s="18" t="n"/>
      <c r="P23" s="18" t="n"/>
    </row>
    <row r="24">
      <c r="A24" s="12" t="inlineStr">
        <is>
          <t>X4</t>
        </is>
      </c>
      <c r="B24" s="12" t="inlineStr">
        <is>
          <t>O resultado da verificação de citações foi informado (conferidas, corrigidas, divergentes, indisponíveis)?</t>
        </is>
      </c>
      <c r="C24" s="12" t="n"/>
      <c r="D24" s="12" t="n"/>
      <c r="E24" s="12" t="n"/>
      <c r="F24" s="18" t="n"/>
      <c r="P24" s="18" t="n"/>
    </row>
    <row r="25">
      <c r="A25" s="12" t="inlineStr">
        <is>
          <t>X5</t>
        </is>
      </c>
      <c r="B25" s="12" t="inlineStr">
        <is>
          <t>O campo "Verificado (revisor)" foi deixado em branco em todos os achados?</t>
        </is>
      </c>
      <c r="C25" s="12" t="n"/>
      <c r="D25" s="12" t="n"/>
      <c r="E25" s="12" t="n"/>
      <c r="F25" s="18" t="n"/>
      <c r="P25" s="18" t="n"/>
    </row>
    <row r="26">
      <c r="A26" s="12" t="inlineStr">
        <is>
          <t>X6</t>
        </is>
      </c>
      <c r="B26" s="12" t="inlineStr">
        <is>
          <t>As questões em aberto estão vinculadas aos achados (ex.: Ref.: ACH-001)?</t>
        </is>
      </c>
      <c r="C26" s="12" t="n"/>
      <c r="D26" s="12" t="n"/>
      <c r="E26" s="12" t="n"/>
      <c r="F26" s="18" t="n"/>
      <c r="P26" s="18" t="n"/>
    </row>
    <row r="27">
      <c r="A27" s="19" t="inlineStr">
        <is>
          <t>Achados extras (apontados pela IA e ausentes do gabarito)</t>
        </is>
      </c>
    </row>
    <row r="28">
      <c r="A28" s="10" t="inlineStr">
        <is>
          <t>Nº</t>
        </is>
      </c>
      <c r="B28" s="10" t="inlineStr">
        <is>
          <t>ID do achado da IA</t>
        </is>
      </c>
      <c r="C28" s="10" t="inlineStr">
        <is>
          <t>Descrição resumida</t>
        </is>
      </c>
      <c r="D28" s="10" t="inlineStr"/>
      <c r="E28" s="10" t="inlineStr"/>
      <c r="F28" s="10" t="inlineStr">
        <is>
          <t>É diferença real?</t>
        </is>
      </c>
      <c r="G28" s="10" t="inlineStr"/>
      <c r="H28" s="10" t="inlineStr"/>
      <c r="I28" s="10" t="inlineStr">
        <is>
          <t>Citações fiéis?</t>
        </is>
      </c>
      <c r="J28" s="10" t="inlineStr"/>
      <c r="K28" s="10" t="inlineStr">
        <is>
          <t>Localizador correto?</t>
        </is>
      </c>
      <c r="L28" s="10" t="inlineStr"/>
      <c r="M28" s="10" t="inlineStr"/>
      <c r="N28" s="10" t="inlineStr"/>
      <c r="O28" s="10" t="inlineStr"/>
      <c r="P28" s="10" t="inlineStr">
        <is>
          <t>Observações</t>
        </is>
      </c>
    </row>
    <row r="29">
      <c r="A29" s="12" t="n">
        <v>1</v>
      </c>
      <c r="B29" s="18" t="n"/>
      <c r="C29" s="18" t="n"/>
      <c r="D29" s="18" t="n"/>
      <c r="E29" s="18" t="n"/>
      <c r="F29" s="18" t="n"/>
      <c r="I29" s="18" t="n"/>
      <c r="K29" s="18" t="n"/>
      <c r="P29" s="18" t="n"/>
    </row>
    <row r="30">
      <c r="A30" s="12" t="n">
        <v>2</v>
      </c>
      <c r="B30" s="18" t="n"/>
      <c r="C30" s="18" t="n"/>
      <c r="D30" s="18" t="n"/>
      <c r="E30" s="18" t="n"/>
      <c r="F30" s="18" t="n"/>
      <c r="I30" s="18" t="n"/>
      <c r="K30" s="18" t="n"/>
      <c r="P30" s="18" t="n"/>
    </row>
    <row r="31">
      <c r="A31" s="12" t="n">
        <v>3</v>
      </c>
      <c r="B31" s="18" t="n"/>
      <c r="C31" s="18" t="n"/>
      <c r="D31" s="18" t="n"/>
      <c r="E31" s="18" t="n"/>
      <c r="F31" s="18" t="n"/>
      <c r="I31" s="18" t="n"/>
      <c r="K31" s="18" t="n"/>
      <c r="P31" s="18" t="n"/>
    </row>
    <row r="32">
      <c r="A32" s="12" t="n">
        <v>4</v>
      </c>
      <c r="B32" s="18" t="n"/>
      <c r="C32" s="18" t="n"/>
      <c r="D32" s="18" t="n"/>
      <c r="E32" s="18" t="n"/>
      <c r="F32" s="18" t="n"/>
      <c r="I32" s="18" t="n"/>
      <c r="K32" s="18" t="n"/>
      <c r="P32" s="18" t="n"/>
    </row>
    <row r="33">
      <c r="A33" s="12" t="n">
        <v>5</v>
      </c>
      <c r="B33" s="18" t="n"/>
      <c r="C33" s="18" t="n"/>
      <c r="D33" s="18" t="n"/>
      <c r="E33" s="18" t="n"/>
      <c r="F33" s="18" t="n"/>
      <c r="I33" s="18" t="n"/>
      <c r="K33" s="18" t="n"/>
      <c r="P33" s="18" t="n"/>
    </row>
    <row r="34">
      <c r="A34" s="12" t="n">
        <v>6</v>
      </c>
      <c r="B34" s="18" t="n"/>
      <c r="C34" s="18" t="n"/>
      <c r="D34" s="18" t="n"/>
      <c r="E34" s="18" t="n"/>
      <c r="F34" s="18" t="n"/>
      <c r="I34" s="18" t="n"/>
      <c r="K34" s="18" t="n"/>
      <c r="P34" s="18" t="n"/>
    </row>
    <row r="35">
      <c r="A35" s="12" t="n">
        <v>7</v>
      </c>
      <c r="B35" s="18" t="n"/>
      <c r="C35" s="18" t="n"/>
      <c r="D35" s="18" t="n"/>
      <c r="E35" s="18" t="n"/>
      <c r="F35" s="18" t="n"/>
      <c r="I35" s="18" t="n"/>
      <c r="K35" s="18" t="n"/>
      <c r="P35" s="18" t="n"/>
    </row>
    <row r="36">
      <c r="A36" s="12" t="n">
        <v>8</v>
      </c>
      <c r="B36" s="18" t="n"/>
      <c r="C36" s="18" t="n"/>
      <c r="D36" s="18" t="n"/>
      <c r="E36" s="18" t="n"/>
      <c r="F36" s="18" t="n"/>
      <c r="I36" s="18" t="n"/>
      <c r="K36" s="18" t="n"/>
      <c r="P36" s="18" t="n"/>
    </row>
    <row r="37">
      <c r="A37" s="12" t="n">
        <v>9</v>
      </c>
      <c r="B37" s="18" t="n"/>
      <c r="C37" s="18" t="n"/>
      <c r="D37" s="18" t="n"/>
      <c r="E37" s="18" t="n"/>
      <c r="F37" s="18" t="n"/>
      <c r="I37" s="18" t="n"/>
      <c r="K37" s="18" t="n"/>
      <c r="P37" s="18" t="n"/>
    </row>
    <row r="38">
      <c r="A38" s="12" t="n">
        <v>10</v>
      </c>
      <c r="B38" s="18" t="n"/>
      <c r="C38" s="18" t="n"/>
      <c r="D38" s="18" t="n"/>
      <c r="E38" s="18" t="n"/>
      <c r="F38" s="18" t="n"/>
      <c r="I38" s="18" t="n"/>
      <c r="K38" s="18" t="n"/>
      <c r="P38" s="18" t="n"/>
    </row>
    <row r="39">
      <c r="A39" s="12" t="n">
        <v>11</v>
      </c>
      <c r="B39" s="18" t="n"/>
      <c r="C39" s="18" t="n"/>
      <c r="D39" s="18" t="n"/>
      <c r="E39" s="18" t="n"/>
      <c r="F39" s="18" t="n"/>
      <c r="I39" s="18" t="n"/>
      <c r="K39" s="18" t="n"/>
      <c r="P39" s="18" t="n"/>
    </row>
    <row r="40">
      <c r="A40" s="12" t="n">
        <v>12</v>
      </c>
      <c r="B40" s="18" t="n"/>
      <c r="C40" s="18" t="n"/>
      <c r="D40" s="18" t="n"/>
      <c r="E40" s="18" t="n"/>
      <c r="F40" s="18" t="n"/>
      <c r="I40" s="18" t="n"/>
      <c r="K40" s="18" t="n"/>
      <c r="P40" s="18" t="n"/>
    </row>
    <row r="41">
      <c r="A41" s="12" t="n">
        <v>13</v>
      </c>
      <c r="B41" s="18" t="n"/>
      <c r="C41" s="18" t="n"/>
      <c r="D41" s="18" t="n"/>
      <c r="E41" s="18" t="n"/>
      <c r="F41" s="18" t="n"/>
      <c r="I41" s="18" t="n"/>
      <c r="K41" s="18" t="n"/>
      <c r="P41" s="18" t="n"/>
    </row>
    <row r="42">
      <c r="A42" s="12" t="n">
        <v>14</v>
      </c>
      <c r="B42" s="18" t="n"/>
      <c r="C42" s="18" t="n"/>
      <c r="D42" s="18" t="n"/>
      <c r="E42" s="18" t="n"/>
      <c r="F42" s="18" t="n"/>
      <c r="I42" s="18" t="n"/>
      <c r="K42" s="18" t="n"/>
      <c r="P42" s="18" t="n"/>
    </row>
    <row r="43">
      <c r="A43" s="12" t="n">
        <v>15</v>
      </c>
      <c r="B43" s="18" t="n"/>
      <c r="C43" s="18" t="n"/>
      <c r="D43" s="18" t="n"/>
      <c r="E43" s="18" t="n"/>
      <c r="F43" s="18" t="n"/>
      <c r="I43" s="18" t="n"/>
      <c r="K43" s="18" t="n"/>
      <c r="P43" s="18" t="n"/>
    </row>
    <row r="44">
      <c r="A44" s="12" t="n">
        <v>16</v>
      </c>
      <c r="B44" s="18" t="n"/>
      <c r="C44" s="18" t="n"/>
      <c r="D44" s="18" t="n"/>
      <c r="E44" s="18" t="n"/>
      <c r="F44" s="18" t="n"/>
      <c r="I44" s="18" t="n"/>
      <c r="K44" s="18" t="n"/>
      <c r="P44" s="18" t="n"/>
    </row>
    <row r="45">
      <c r="A45" s="12" t="n">
        <v>17</v>
      </c>
      <c r="B45" s="18" t="n"/>
      <c r="C45" s="18" t="n"/>
      <c r="D45" s="18" t="n"/>
      <c r="E45" s="18" t="n"/>
      <c r="F45" s="18" t="n"/>
      <c r="I45" s="18" t="n"/>
      <c r="K45" s="18" t="n"/>
      <c r="P45" s="18" t="n"/>
    </row>
    <row r="46">
      <c r="A46" s="12" t="n">
        <v>18</v>
      </c>
      <c r="B46" s="18" t="n"/>
      <c r="C46" s="18" t="n"/>
      <c r="D46" s="18" t="n"/>
      <c r="E46" s="18" t="n"/>
      <c r="F46" s="18" t="n"/>
      <c r="I46" s="18" t="n"/>
      <c r="K46" s="18" t="n"/>
      <c r="P46" s="18" t="n"/>
    </row>
    <row r="47">
      <c r="A47" s="12" t="n">
        <v>19</v>
      </c>
      <c r="B47" s="18" t="n"/>
      <c r="C47" s="18" t="n"/>
      <c r="D47" s="18" t="n"/>
      <c r="E47" s="18" t="n"/>
      <c r="F47" s="18" t="n"/>
      <c r="I47" s="18" t="n"/>
      <c r="K47" s="18" t="n"/>
      <c r="P47" s="18" t="n"/>
    </row>
    <row r="48">
      <c r="A48" s="12" t="n">
        <v>20</v>
      </c>
      <c r="B48" s="18" t="n"/>
      <c r="C48" s="18" t="n"/>
      <c r="D48" s="18" t="n"/>
      <c r="E48" s="18" t="n"/>
      <c r="F48" s="18" t="n"/>
      <c r="I48" s="18" t="n"/>
      <c r="K48" s="18" t="n"/>
      <c r="P48" s="18" t="n"/>
    </row>
  </sheetData>
  <mergeCells count="27">
    <mergeCell ref="C44:E44"/>
    <mergeCell ref="C41:E41"/>
    <mergeCell ref="C31:E31"/>
    <mergeCell ref="C40:E40"/>
    <mergeCell ref="B24:E24"/>
    <mergeCell ref="C43:E43"/>
    <mergeCell ref="C46:E46"/>
    <mergeCell ref="B26:E26"/>
    <mergeCell ref="C36:E36"/>
    <mergeCell ref="C2:H2"/>
    <mergeCell ref="C39:E39"/>
    <mergeCell ref="C48:E48"/>
    <mergeCell ref="B25:E25"/>
    <mergeCell ref="B22:E22"/>
    <mergeCell ref="C32:E32"/>
    <mergeCell ref="C38:E38"/>
    <mergeCell ref="C37:E37"/>
    <mergeCell ref="B21:E21"/>
    <mergeCell ref="C30:E30"/>
    <mergeCell ref="C34:E34"/>
    <mergeCell ref="C42:E42"/>
    <mergeCell ref="B23:E23"/>
    <mergeCell ref="C33:E33"/>
    <mergeCell ref="C45:E45"/>
    <mergeCell ref="C29:E29"/>
    <mergeCell ref="C35:E35"/>
    <mergeCell ref="C47:E47"/>
  </mergeCells>
  <dataValidations count="2">
    <dataValidation sqref="F29:F48 G5:N16 I29:I48 K29:K48" showDropDown="0" showInputMessage="0" showErrorMessage="0" allowBlank="1" type="list">
      <formula1>"S,N,NA"</formula1>
    </dataValidation>
    <dataValidation sqref="F5:F16 F21:F26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2026-10-15T13:05:55Z</dcterms:created>
  <dcterms:modified xmlns:dcterms="http://purl.org/dc/terms/" xmlns:xsi="http://www.w3.org/2001/XMLSchema-instance" xsi:type="dcterms:W3CDTF">2026-10-15T13:05:55Z</dcterms:modified>
</cp:coreProperties>
</file>